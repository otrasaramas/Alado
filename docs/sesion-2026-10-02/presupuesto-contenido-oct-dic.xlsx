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Calendari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"/>
    <numFmt numFmtId="166" formatCode="$#,##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  <color rgb="00555555"/>
      <sz val="10"/>
    </font>
    <font>
      <name val="Arial"/>
      <b val="1"/>
      <sz val="14"/>
    </font>
    <font>
      <name val="Arial"/>
      <b val="1"/>
      <color rgb="000000FF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B3A2B"/>
      </patternFill>
    </fill>
    <fill>
      <patternFill patternType="solid">
        <fgColor rgb="00FFFF00"/>
      </patternFill>
    </fill>
    <fill>
      <patternFill patternType="solid">
        <fgColor rgb="00EFE6D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6" fillId="3" borderId="1" pivotButton="0" quotePrefix="0" xfId="0"/>
    <xf numFmtId="1" fontId="2" fillId="0" borderId="1" pivotButton="0" quotePrefix="0" xfId="0"/>
    <xf numFmtId="166" fontId="2" fillId="0" borderId="1" pivotButton="0" quotePrefix="0" xfId="0"/>
    <xf numFmtId="0" fontId="7" fillId="0" borderId="0" pivotButton="0" quotePrefix="0" xfId="0"/>
    <xf numFmtId="166" fontId="7" fillId="4" borderId="1" pivotButton="0" quotePrefix="0" xfId="0"/>
    <xf numFmtId="166" fontId="7" fillId="0" borderId="1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165" fontId="3" fillId="3" borderId="1" pivotButton="0" quotePrefix="0" xfId="0"/>
    <xf numFmtId="0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2" customWidth="1" min="3" max="3"/>
  </cols>
  <sheetData>
    <row r="1">
      <c r="A1" s="1" t="inlineStr">
        <is>
          <t>Alado — Plan de contenido y presupuesto · 5 oct → 1 dic (+ banco de vacaciones)</t>
        </is>
      </c>
    </row>
    <row r="2">
      <c r="A2" s="2" t="inlineStr">
        <is>
          <t>Edita las celdas amarillas. Los totales salen de la hoja «Calendario».</t>
        </is>
      </c>
    </row>
    <row r="4">
      <c r="A4" s="3" t="inlineStr">
        <is>
          <t>TARIFAS</t>
        </is>
      </c>
    </row>
    <row r="5">
      <c r="A5" s="4" t="inlineStr">
        <is>
          <t>Video grabado y editado (reel)</t>
        </is>
      </c>
      <c r="B5" s="5" t="n">
        <v>210000</v>
      </c>
    </row>
    <row r="6">
      <c r="A6" s="4" t="inlineStr">
        <is>
          <t>Carrusel de fotos</t>
        </is>
      </c>
      <c r="B6" s="5" t="n">
        <v>150000</v>
      </c>
    </row>
    <row r="7">
      <c r="A7" s="4" t="inlineStr">
        <is>
          <t>Set de historias (tarifa anterior, CONFIRMAR)</t>
        </is>
      </c>
      <c r="B7" s="5" t="n">
        <v>180000</v>
      </c>
    </row>
    <row r="9">
      <c r="A9" s="3" t="inlineStr">
        <is>
          <t>CANTIDAD DE PIEZAS</t>
        </is>
      </c>
    </row>
    <row r="10">
      <c r="A10" s="4" t="inlineStr">
        <is>
          <t>Videos · Núcleo</t>
        </is>
      </c>
      <c r="B10" s="6">
        <f>COUNTIFS(Calendario!$E$2:$E$48,"Video",Calendario!$F$2:$F$48,"Núcleo")</f>
        <v/>
      </c>
    </row>
    <row r="11">
      <c r="A11" s="4" t="inlineStr">
        <is>
          <t>Carruseles · Núcleo</t>
        </is>
      </c>
      <c r="B11" s="6">
        <f>COUNTIFS(Calendario!$E$2:$E$48,"Carrusel",Calendario!$F$2:$F$48,"Núcleo")</f>
        <v/>
      </c>
    </row>
    <row r="12">
      <c r="A12" s="4" t="inlineStr">
        <is>
          <t>Sets de historias (opcional)</t>
        </is>
      </c>
      <c r="B12" s="6">
        <f>COUNTIFS(Calendario!$E$2:$E$48,"Historias")</f>
        <v/>
      </c>
    </row>
    <row r="13">
      <c r="A13" s="4" t="inlineStr">
        <is>
          <t>Piezas Fase B (banco de vacaciones)</t>
        </is>
      </c>
      <c r="B13" s="6">
        <f>COUNTIFS(Calendario!$F$2:$F$48,"Fase B")</f>
        <v/>
      </c>
    </row>
    <row r="15">
      <c r="A15" s="3" t="inlineStr">
        <is>
          <t>OPCIONES PARA PRESENTAR</t>
        </is>
      </c>
    </row>
    <row r="16">
      <c r="A16" s="4" t="inlineStr">
        <is>
          <t>Núcleo · prioridad A (esencial)</t>
        </is>
      </c>
      <c r="B16" s="7">
        <f>SUMIFS(Calendario!$H$2:$H$48,Calendario!$F$2:$F$48,"Núcleo",Calendario!$G$2:$G$48,"A")</f>
        <v/>
      </c>
    </row>
    <row r="17">
      <c r="A17" s="4" t="inlineStr">
        <is>
          <t>Núcleo · prioridad B (complemento)</t>
        </is>
      </c>
      <c r="B17" s="7">
        <f>SUMIFS(Calendario!$H$2:$H$48,Calendario!$F$2:$F$48,"Núcleo",Calendario!$G$2:$G$48,"B")</f>
        <v/>
      </c>
    </row>
    <row r="18">
      <c r="A18" s="8" t="inlineStr">
        <is>
          <t>OPCIÓN 1 · Esencial</t>
        </is>
      </c>
      <c r="B18" s="9">
        <f>B16</f>
        <v/>
      </c>
    </row>
    <row r="19">
      <c r="A19" s="8" t="inlineStr">
        <is>
          <t>OPCIÓN 2 · Completo (núcleo A + B)</t>
        </is>
      </c>
      <c r="B19" s="9">
        <f>B16+B17</f>
        <v/>
      </c>
    </row>
    <row r="20">
      <c r="A20" s="4" t="inlineStr">
        <is>
          <t>Fase B · banco de vacaciones (12 dic–12 ene)</t>
        </is>
      </c>
      <c r="B20" s="7">
        <f>SUMIFS(Calendario!$H$2:$H$48,Calendario!$F$2:$F$48,"Fase B")</f>
        <v/>
      </c>
    </row>
    <row r="21">
      <c r="A21" s="8" t="inlineStr">
        <is>
          <t>OPCIÓN 3 · Completo + banco de vacaciones</t>
        </is>
      </c>
      <c r="B21" s="9">
        <f>B19+B20</f>
        <v/>
      </c>
    </row>
    <row r="22">
      <c r="A22" s="4" t="inlineStr">
        <is>
          <t>Historias (opcional)</t>
        </is>
      </c>
      <c r="B22" s="7">
        <f>SUMIFS(Calendario!$H$2:$H$48,Calendario!$F$2:$F$48,"Historias (opcional)")</f>
        <v/>
      </c>
    </row>
    <row r="23">
      <c r="A23" s="8" t="inlineStr">
        <is>
          <t>OPCIÓN 4 · Todo incluido</t>
        </is>
      </c>
      <c r="B23" s="9">
        <f>B21+B22</f>
        <v/>
      </c>
    </row>
    <row r="25">
      <c r="A25" s="3" t="inlineStr">
        <is>
          <t>GASTOS REEMBOLSABLES (ESTIMADOS — confirmar; $0 si Alado ya lo tiene)</t>
        </is>
      </c>
    </row>
    <row r="26">
      <c r="A26" s="4" t="inlineStr">
        <is>
          <t>Luz LED portátil (el taller tiene poca luz)</t>
        </is>
      </c>
      <c r="B26" s="5" t="n">
        <v>180000</v>
      </c>
    </row>
    <row r="27">
      <c r="A27" s="4" t="inlineStr">
        <is>
          <t>Micrófono de solapa (voz en off de Alejo)</t>
        </is>
      </c>
      <c r="B27" s="5" t="n">
        <v>90000</v>
      </c>
    </row>
    <row r="28">
      <c r="A28" s="4" t="inlineStr">
        <is>
          <t>Trípode / soporte para celular</t>
        </is>
      </c>
      <c r="B28" s="5" t="n">
        <v>70000</v>
      </c>
    </row>
    <row r="29">
      <c r="A29" s="4" t="inlineStr">
        <is>
          <t>Banco de música con licencia comercial (2 meses)</t>
        </is>
      </c>
      <c r="B29" s="5" t="n">
        <v>100000</v>
      </c>
    </row>
    <row r="30">
      <c r="A30" s="4" t="inlineStr">
        <is>
          <t>Transporte a El Retiro (4 viajes × $50.000)</t>
        </is>
      </c>
      <c r="B30" s="5" t="n">
        <v>200000</v>
      </c>
    </row>
    <row r="31">
      <c r="A31" s="8" t="inlineStr">
        <is>
          <t>Total reembolsables</t>
        </is>
      </c>
      <c r="B31" s="10">
        <f>SUM(B26:B30)</f>
        <v/>
      </c>
    </row>
    <row r="33">
      <c r="A33" s="3" t="inlineStr">
        <is>
          <t>NÚCLEO POR MES (prioridad A + B)</t>
        </is>
      </c>
    </row>
    <row r="34">
      <c r="A34" s="4" t="inlineStr">
        <is>
          <t>Octubre</t>
        </is>
      </c>
      <c r="B34" s="7">
        <f>SUMIFS(Calendario!$H$2:$H$48,Calendario!$F$2:$F$48,"Núcleo",Calendario!$B$2:$B$48,"&gt;="&amp;DATE(2026,10,1),Calendario!$B$2:$B$48,"&lt;"&amp;DATE(2026,11,1))</f>
        <v/>
      </c>
    </row>
    <row r="35">
      <c r="A35" s="4" t="inlineStr">
        <is>
          <t>Noviembre</t>
        </is>
      </c>
      <c r="B35" s="7">
        <f>SUMIFS(Calendario!$H$2:$H$48,Calendario!$F$2:$F$48,"Núcleo",Calendario!$B$2:$B$48,"&gt;="&amp;DATE(2026,11,1),Calendario!$B$2:$B$48,"&lt;"&amp;DATE(2026,12,1))</f>
        <v/>
      </c>
    </row>
    <row r="36">
      <c r="A36" s="4" t="inlineStr">
        <is>
          <t>Diciembre</t>
        </is>
      </c>
      <c r="B36" s="7">
        <f>SUMIFS(Calendario!$H$2:$H$48,Calendario!$F$2:$F$48,"Núcleo",Calendario!$B$2:$B$48,"&gt;="&amp;DATE(2026,12,1),Calendario!$B$2:$B$48,"&lt;"&amp;DATE(2027,1,1))</f>
        <v/>
      </c>
    </row>
    <row r="38">
      <c r="A38" s="2" t="inlineStr">
        <is>
          <t>Propuesta de pago: 50% al aprobar el plan, 50% contra entrega por mes. Los derechos del contenido son de Alado; Sara puede mostrarlo en su portafolio.</t>
        </is>
      </c>
    </row>
  </sheetData>
  <mergeCells count="7">
    <mergeCell ref="A25:C25"/>
    <mergeCell ref="A33:C33"/>
    <mergeCell ref="A1:C1"/>
    <mergeCell ref="A9:C9"/>
    <mergeCell ref="A15:C15"/>
    <mergeCell ref="A4:C4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50" customWidth="1" min="4" max="4"/>
    <col width="12" customWidth="1" min="5" max="5"/>
    <col width="22" customWidth="1" min="6" max="6"/>
    <col width="10" customWidth="1" min="7" max="7"/>
    <col width="14" customWidth="1" min="8" max="8"/>
  </cols>
  <sheetData>
    <row r="1">
      <c r="A1" s="11" t="inlineStr">
        <is>
          <t>#</t>
        </is>
      </c>
      <c r="B1" s="11" t="inlineStr">
        <is>
          <t>Fecha</t>
        </is>
      </c>
      <c r="C1" s="11" t="inlineStr">
        <is>
          <t>Línea</t>
        </is>
      </c>
      <c r="D1" s="11" t="inlineStr">
        <is>
          <t>Pieza</t>
        </is>
      </c>
      <c r="E1" s="11" t="inlineStr">
        <is>
          <t>Formato</t>
        </is>
      </c>
      <c r="F1" s="11" t="inlineStr">
        <is>
          <t>Fase</t>
        </is>
      </c>
      <c r="G1" s="11" t="inlineStr">
        <is>
          <t>Prioridad</t>
        </is>
      </c>
      <c r="H1" s="11" t="inlineStr">
        <is>
          <t>Valor</t>
        </is>
      </c>
    </row>
    <row r="2">
      <c r="A2" s="12" t="inlineStr">
        <is>
          <t>P01</t>
        </is>
      </c>
      <c r="B2" s="13" t="n">
        <v>46301</v>
      </c>
      <c r="C2" s="14" t="inlineStr">
        <is>
          <t>Bride</t>
        </is>
      </c>
      <c r="D2" s="14" t="inlineStr">
        <is>
          <t>Así se diseña un vestido en Alado</t>
        </is>
      </c>
      <c r="E2" s="14" t="inlineStr">
        <is>
          <t>Carrusel</t>
        </is>
      </c>
      <c r="F2" s="14" t="inlineStr">
        <is>
          <t>Núcleo</t>
        </is>
      </c>
      <c r="G2" s="14" t="inlineStr">
        <is>
          <t>A</t>
        </is>
      </c>
      <c r="H2" s="7">
        <f>IF(E2="Video",Presupuesto!$B$5,IF(E2="Carrusel",Presupuesto!$B$6,IF(E2="Historias",Presupuesto!$B$7,0)))</f>
        <v/>
      </c>
    </row>
    <row r="3">
      <c r="A3" s="12" t="inlineStr">
        <is>
          <t>P02</t>
        </is>
      </c>
      <c r="B3" s="13" t="n">
        <v>46303</v>
      </c>
      <c r="C3" s="14" t="inlineStr">
        <is>
          <t>Alado &amp; Co.</t>
        </is>
      </c>
      <c r="D3" s="14" t="inlineStr">
        <is>
          <t>Invitación al taller de cerámica (17 oct)</t>
        </is>
      </c>
      <c r="E3" s="14" t="inlineStr">
        <is>
          <t>Video</t>
        </is>
      </c>
      <c r="F3" s="14" t="inlineStr">
        <is>
          <t>Núcleo</t>
        </is>
      </c>
      <c r="G3" s="14" t="inlineStr">
        <is>
          <t>A</t>
        </is>
      </c>
      <c r="H3" s="7">
        <f>IF(E3="Video",Presupuesto!$B$5,IF(E3="Carrusel",Presupuesto!$B$6,IF(E3="Historias",Presupuesto!$B$7,0)))</f>
        <v/>
      </c>
    </row>
    <row r="4">
      <c r="A4" s="12" t="inlineStr">
        <is>
          <t>P03</t>
        </is>
      </c>
      <c r="B4" s="13" t="n">
        <v>46308</v>
      </c>
      <c r="C4" s="14" t="inlineStr">
        <is>
          <t>Bride</t>
        </is>
      </c>
      <c r="D4" s="14" t="inlineStr">
        <is>
          <t>El figurín en vivo</t>
        </is>
      </c>
      <c r="E4" s="14" t="inlineStr">
        <is>
          <t>Video</t>
        </is>
      </c>
      <c r="F4" s="14" t="inlineStr">
        <is>
          <t>Núcleo</t>
        </is>
      </c>
      <c r="G4" s="14" t="inlineStr">
        <is>
          <t>A</t>
        </is>
      </c>
      <c r="H4" s="7">
        <f>IF(E4="Video",Presupuesto!$B$5,IF(E4="Carrusel",Presupuesto!$B$6,IF(E4="Historias",Presupuesto!$B$7,0)))</f>
        <v/>
      </c>
    </row>
    <row r="5">
      <c r="A5" s="12" t="inlineStr">
        <is>
          <t>P04</t>
        </is>
      </c>
      <c r="B5" s="13" t="n">
        <v>46315</v>
      </c>
      <c r="C5" s="14" t="inlineStr">
        <is>
          <t>Alado &amp; Co.</t>
        </is>
      </c>
      <c r="D5" s="14" t="inlineStr">
        <is>
          <t>Recap del taller de cerámica</t>
        </is>
      </c>
      <c r="E5" s="14" t="inlineStr">
        <is>
          <t>Video</t>
        </is>
      </c>
      <c r="F5" s="14" t="inlineStr">
        <is>
          <t>Núcleo</t>
        </is>
      </c>
      <c r="G5" s="14" t="inlineStr">
        <is>
          <t>A</t>
        </is>
      </c>
      <c r="H5" s="7">
        <f>IF(E5="Video",Presupuesto!$B$5,IF(E5="Carrusel",Presupuesto!$B$6,IF(E5="Historias",Presupuesto!$B$7,0)))</f>
        <v/>
      </c>
    </row>
    <row r="6">
      <c r="A6" s="12" t="inlineStr">
        <is>
          <t>P05</t>
        </is>
      </c>
      <c r="B6" s="13" t="n">
        <v>46317</v>
      </c>
      <c r="C6" s="14" t="inlineStr">
        <is>
          <t>Alado (ropa)</t>
        </is>
      </c>
      <c r="D6" s="14" t="inlineStr">
        <is>
          <t>Una pieza, su historia</t>
        </is>
      </c>
      <c r="E6" s="14" t="inlineStr">
        <is>
          <t>Carrusel</t>
        </is>
      </c>
      <c r="F6" s="14" t="inlineStr">
        <is>
          <t>Núcleo</t>
        </is>
      </c>
      <c r="G6" s="14" t="inlineStr">
        <is>
          <t>B</t>
        </is>
      </c>
      <c r="H6" s="7">
        <f>IF(E6="Video",Presupuesto!$B$5,IF(E6="Carrusel",Presupuesto!$B$6,IF(E6="Historias",Presupuesto!$B$7,0)))</f>
        <v/>
      </c>
    </row>
    <row r="7">
      <c r="A7" s="12" t="inlineStr">
        <is>
          <t>P06</t>
        </is>
      </c>
      <c r="B7" s="13" t="n">
        <v>46319</v>
      </c>
      <c r="C7" s="14" t="inlineStr">
        <is>
          <t>Alado &amp; Co.</t>
        </is>
      </c>
      <c r="D7" s="14" t="inlineStr">
        <is>
          <t>La tienda de Navidad</t>
        </is>
      </c>
      <c r="E7" s="14" t="inlineStr">
        <is>
          <t>Video</t>
        </is>
      </c>
      <c r="F7" s="14" t="inlineStr">
        <is>
          <t>Núcleo</t>
        </is>
      </c>
      <c r="G7" s="14" t="inlineStr">
        <is>
          <t>A</t>
        </is>
      </c>
      <c r="H7" s="7">
        <f>IF(E7="Video",Presupuesto!$B$5,IF(E7="Carrusel",Presupuesto!$B$6,IF(E7="Historias",Presupuesto!$B$7,0)))</f>
        <v/>
      </c>
    </row>
    <row r="8">
      <c r="A8" s="12" t="inlineStr">
        <is>
          <t>P07</t>
        </is>
      </c>
      <c r="B8" s="13" t="n">
        <v>46322</v>
      </c>
      <c r="C8" s="14" t="inlineStr">
        <is>
          <t>Bride</t>
        </is>
      </c>
      <c r="D8" s="14" t="inlineStr">
        <is>
          <t>Oficio y detalle</t>
        </is>
      </c>
      <c r="E8" s="14" t="inlineStr">
        <is>
          <t>Video</t>
        </is>
      </c>
      <c r="F8" s="14" t="inlineStr">
        <is>
          <t>Núcleo</t>
        </is>
      </c>
      <c r="G8" s="14" t="inlineStr">
        <is>
          <t>B</t>
        </is>
      </c>
      <c r="H8" s="7">
        <f>IF(E8="Video",Presupuesto!$B$5,IF(E8="Carrusel",Presupuesto!$B$6,IF(E8="Historias",Presupuesto!$B$7,0)))</f>
        <v/>
      </c>
    </row>
    <row r="9">
      <c r="A9" s="12" t="inlineStr">
        <is>
          <t>P08</t>
        </is>
      </c>
      <c r="B9" s="13" t="n">
        <v>46324</v>
      </c>
      <c r="C9" s="14" t="inlineStr">
        <is>
          <t>Alado &amp; Co.</t>
        </is>
      </c>
      <c r="D9" s="14" t="inlineStr">
        <is>
          <t>La casa se viste de Navidad</t>
        </is>
      </c>
      <c r="E9" s="14" t="inlineStr">
        <is>
          <t>Video</t>
        </is>
      </c>
      <c r="F9" s="14" t="inlineStr">
        <is>
          <t>Núcleo</t>
        </is>
      </c>
      <c r="G9" s="14" t="inlineStr">
        <is>
          <t>A</t>
        </is>
      </c>
      <c r="H9" s="7">
        <f>IF(E9="Video",Presupuesto!$B$5,IF(E9="Carrusel",Presupuesto!$B$6,IF(E9="Historias",Presupuesto!$B$7,0)))</f>
        <v/>
      </c>
    </row>
    <row r="10">
      <c r="A10" s="12" t="inlineStr">
        <is>
          <t>P09</t>
        </is>
      </c>
      <c r="B10" s="13" t="n">
        <v>46329</v>
      </c>
      <c r="C10" s="14" t="inlineStr">
        <is>
          <t>Alado &amp; Co.</t>
        </is>
      </c>
      <c r="D10" s="14" t="inlineStr">
        <is>
          <t>Drop 1 · Flores (revelación)</t>
        </is>
      </c>
      <c r="E10" s="14" t="inlineStr">
        <is>
          <t>Video</t>
        </is>
      </c>
      <c r="F10" s="14" t="inlineStr">
        <is>
          <t>Núcleo</t>
        </is>
      </c>
      <c r="G10" s="14" t="inlineStr">
        <is>
          <t>A</t>
        </is>
      </c>
      <c r="H10" s="7">
        <f>IF(E10="Video",Presupuesto!$B$5,IF(E10="Carrusel",Presupuesto!$B$6,IF(E10="Historias",Presupuesto!$B$7,0)))</f>
        <v/>
      </c>
    </row>
    <row r="11">
      <c r="A11" s="12" t="inlineStr">
        <is>
          <t>P10</t>
        </is>
      </c>
      <c r="B11" s="13" t="n">
        <v>46331</v>
      </c>
      <c r="C11" s="14" t="inlineStr">
        <is>
          <t>Alado &amp; Co.</t>
        </is>
      </c>
      <c r="D11" s="14" t="inlineStr">
        <is>
          <t>Flores todo el año</t>
        </is>
      </c>
      <c r="E11" s="14" t="inlineStr">
        <is>
          <t>Carrusel</t>
        </is>
      </c>
      <c r="F11" s="14" t="inlineStr">
        <is>
          <t>Núcleo</t>
        </is>
      </c>
      <c r="G11" s="14" t="inlineStr">
        <is>
          <t>B</t>
        </is>
      </c>
      <c r="H11" s="7">
        <f>IF(E11="Video",Presupuesto!$B$5,IF(E11="Carrusel",Presupuesto!$B$6,IF(E11="Historias",Presupuesto!$B$7,0)))</f>
        <v/>
      </c>
    </row>
    <row r="12">
      <c r="A12" s="12" t="inlineStr">
        <is>
          <t>P11</t>
        </is>
      </c>
      <c r="B12" s="13" t="n">
        <v>46336</v>
      </c>
      <c r="C12" s="14" t="inlineStr">
        <is>
          <t>Alado &amp; Co.</t>
        </is>
      </c>
      <c r="D12" s="14" t="inlineStr">
        <is>
          <t>Drop 2 · Caballos a cuadros (revelación)</t>
        </is>
      </c>
      <c r="E12" s="14" t="inlineStr">
        <is>
          <t>Video</t>
        </is>
      </c>
      <c r="F12" s="14" t="inlineStr">
        <is>
          <t>Núcleo</t>
        </is>
      </c>
      <c r="G12" s="14" t="inlineStr">
        <is>
          <t>A</t>
        </is>
      </c>
      <c r="H12" s="7">
        <f>IF(E12="Video",Presupuesto!$B$5,IF(E12="Carrusel",Presupuesto!$B$6,IF(E12="Historias",Presupuesto!$B$7,0)))</f>
        <v/>
      </c>
    </row>
    <row r="13">
      <c r="A13" s="12" t="inlineStr">
        <is>
          <t>P12</t>
        </is>
      </c>
      <c r="B13" s="13" t="n">
        <v>46338</v>
      </c>
      <c r="C13" s="14" t="inlineStr">
        <is>
          <t>Bride</t>
        </is>
      </c>
      <c r="D13" s="14" t="inlineStr">
        <is>
          <t>El figurín enmarcado</t>
        </is>
      </c>
      <c r="E13" s="14" t="inlineStr">
        <is>
          <t>Video</t>
        </is>
      </c>
      <c r="F13" s="14" t="inlineStr">
        <is>
          <t>Núcleo</t>
        </is>
      </c>
      <c r="G13" s="14" t="inlineStr">
        <is>
          <t>B</t>
        </is>
      </c>
      <c r="H13" s="7">
        <f>IF(E13="Video",Presupuesto!$B$5,IF(E13="Carrusel",Presupuesto!$B$6,IF(E13="Historias",Presupuesto!$B$7,0)))</f>
        <v/>
      </c>
    </row>
    <row r="14">
      <c r="A14" s="12" t="inlineStr">
        <is>
          <t>P13</t>
        </is>
      </c>
      <c r="B14" s="13" t="n">
        <v>46343</v>
      </c>
      <c r="C14" s="14" t="inlineStr">
        <is>
          <t>Alado &amp; Co.</t>
        </is>
      </c>
      <c r="D14" s="14" t="inlineStr">
        <is>
          <t>Drop 3 · Ángeles y ciervos (revelación)</t>
        </is>
      </c>
      <c r="E14" s="14" t="inlineStr">
        <is>
          <t>Video</t>
        </is>
      </c>
      <c r="F14" s="14" t="inlineStr">
        <is>
          <t>Núcleo</t>
        </is>
      </c>
      <c r="G14" s="14" t="inlineStr">
        <is>
          <t>A</t>
        </is>
      </c>
      <c r="H14" s="7">
        <f>IF(E14="Video",Presupuesto!$B$5,IF(E14="Carrusel",Presupuesto!$B$6,IF(E14="Historias",Presupuesto!$B$7,0)))</f>
        <v/>
      </c>
    </row>
    <row r="15">
      <c r="A15" s="12" t="inlineStr">
        <is>
          <t>P14</t>
        </is>
      </c>
      <c r="B15" s="13" t="n">
        <v>46345</v>
      </c>
      <c r="C15" s="14" t="inlineStr">
        <is>
          <t>Celebration</t>
        </is>
      </c>
      <c r="D15" s="14" t="inlineStr">
        <is>
          <t>Prom y 15s: tu vestido, único</t>
        </is>
      </c>
      <c r="E15" s="14" t="inlineStr">
        <is>
          <t>Carrusel</t>
        </is>
      </c>
      <c r="F15" s="14" t="inlineStr">
        <is>
          <t>Núcleo</t>
        </is>
      </c>
      <c r="G15" s="14" t="inlineStr">
        <is>
          <t>B</t>
        </is>
      </c>
      <c r="H15" s="7">
        <f>IF(E15="Video",Presupuesto!$B$5,IF(E15="Carrusel",Presupuesto!$B$6,IF(E15="Historias",Presupuesto!$B$7,0)))</f>
        <v/>
      </c>
    </row>
    <row r="16">
      <c r="A16" s="12" t="inlineStr">
        <is>
          <t>P15</t>
        </is>
      </c>
      <c r="B16" s="13" t="n">
        <v>46350</v>
      </c>
      <c r="C16" s="14" t="inlineStr">
        <is>
          <t>Bride</t>
        </is>
      </c>
      <c r="D16" s="14" t="inlineStr">
        <is>
          <t>Notas de Alejo: qué se va y qué se queda</t>
        </is>
      </c>
      <c r="E16" s="14" t="inlineStr">
        <is>
          <t>Video</t>
        </is>
      </c>
      <c r="F16" s="14" t="inlineStr">
        <is>
          <t>Núcleo</t>
        </is>
      </c>
      <c r="G16" s="14" t="inlineStr">
        <is>
          <t>A</t>
        </is>
      </c>
      <c r="H16" s="7">
        <f>IF(E16="Video",Presupuesto!$B$5,IF(E16="Carrusel",Presupuesto!$B$6,IF(E16="Historias",Presupuesto!$B$7,0)))</f>
        <v/>
      </c>
    </row>
    <row r="17">
      <c r="A17" s="12" t="inlineStr">
        <is>
          <t>P16</t>
        </is>
      </c>
      <c r="B17" s="13" t="n">
        <v>46352</v>
      </c>
      <c r="C17" s="14" t="inlineStr">
        <is>
          <t>Alado</t>
        </is>
      </c>
      <c r="D17" s="14" t="inlineStr">
        <is>
          <t>Regala Alado (guía de regalos)</t>
        </is>
      </c>
      <c r="E17" s="14" t="inlineStr">
        <is>
          <t>Carrusel</t>
        </is>
      </c>
      <c r="F17" s="14" t="inlineStr">
        <is>
          <t>Núcleo</t>
        </is>
      </c>
      <c r="G17" s="14" t="inlineStr">
        <is>
          <t>B</t>
        </is>
      </c>
      <c r="H17" s="7">
        <f>IF(E17="Video",Presupuesto!$B$5,IF(E17="Carrusel",Presupuesto!$B$6,IF(E17="Historias",Presupuesto!$B$7,0)))</f>
        <v/>
      </c>
    </row>
    <row r="18">
      <c r="A18" s="12" t="inlineStr">
        <is>
          <t>P17</t>
        </is>
      </c>
      <c r="B18" s="13" t="n">
        <v>46357</v>
      </c>
      <c r="C18" s="14" t="inlineStr">
        <is>
          <t>Bride</t>
        </is>
      </c>
      <c r="D18" s="14" t="inlineStr">
        <is>
          <t>Agenda tu cita antes de vacaciones</t>
        </is>
      </c>
      <c r="E18" s="14" t="inlineStr">
        <is>
          <t>Carrusel</t>
        </is>
      </c>
      <c r="F18" s="14" t="inlineStr">
        <is>
          <t>Núcleo</t>
        </is>
      </c>
      <c r="G18" s="14" t="inlineStr">
        <is>
          <t>A</t>
        </is>
      </c>
      <c r="H18" s="7">
        <f>IF(E18="Video",Presupuesto!$B$5,IF(E18="Carrusel",Presupuesto!$B$6,IF(E18="Historias",Presupuesto!$B$7,0)))</f>
        <v/>
      </c>
    </row>
    <row r="19">
      <c r="A19" s="12" t="inlineStr">
        <is>
          <t>H1</t>
        </is>
      </c>
      <c r="B19" s="13" t="n">
        <v>46300</v>
      </c>
      <c r="C19" s="14" t="inlineStr">
        <is>
          <t>Bride</t>
        </is>
      </c>
      <c r="D19" s="14" t="inlineStr">
        <is>
          <t>Destacado fijo «Bride» (montaje único)</t>
        </is>
      </c>
      <c r="E19" s="14" t="inlineStr">
        <is>
          <t>Historias</t>
        </is>
      </c>
      <c r="F19" s="14" t="inlineStr">
        <is>
          <t>Historias (opcional)</t>
        </is>
      </c>
      <c r="G19" s="14" t="inlineStr">
        <is>
          <t>A</t>
        </is>
      </c>
      <c r="H19" s="7">
        <f>IF(E19="Video",Presupuesto!$B$5,IF(E19="Carrusel",Presupuesto!$B$6,IF(E19="Historias",Presupuesto!$B$7,0)))</f>
        <v/>
      </c>
    </row>
    <row r="20">
      <c r="A20" s="12" t="inlineStr">
        <is>
          <t>H2</t>
        </is>
      </c>
      <c r="B20" s="13" t="n">
        <v>46312</v>
      </c>
      <c r="C20" s="14" t="inlineStr">
        <is>
          <t>Alado &amp; Co.</t>
        </is>
      </c>
      <c r="D20" s="14" t="inlineStr">
        <is>
          <t>Taller de cerámica en vivo</t>
        </is>
      </c>
      <c r="E20" s="14" t="inlineStr">
        <is>
          <t>Historias</t>
        </is>
      </c>
      <c r="F20" s="14" t="inlineStr">
        <is>
          <t>Historias (opcional)</t>
        </is>
      </c>
      <c r="G20" s="14" t="inlineStr">
        <is>
          <t>A</t>
        </is>
      </c>
      <c r="H20" s="7">
        <f>IF(E20="Video",Presupuesto!$B$5,IF(E20="Carrusel",Presupuesto!$B$6,IF(E20="Historias",Presupuesto!$B$7,0)))</f>
        <v/>
      </c>
    </row>
    <row r="21">
      <c r="A21" s="12" t="inlineStr">
        <is>
          <t>H3</t>
        </is>
      </c>
      <c r="B21" s="13" t="n">
        <v>46328</v>
      </c>
      <c r="C21" s="14" t="inlineStr">
        <is>
          <t>Alado &amp; Co.</t>
        </is>
      </c>
      <c r="D21" s="14" t="inlineStr">
        <is>
          <t>Semana de lanzamiento de los drops</t>
        </is>
      </c>
      <c r="E21" s="14" t="inlineStr">
        <is>
          <t>Historias</t>
        </is>
      </c>
      <c r="F21" s="14" t="inlineStr">
        <is>
          <t>Historias (opcional)</t>
        </is>
      </c>
      <c r="G21" s="14" t="inlineStr">
        <is>
          <t>B</t>
        </is>
      </c>
      <c r="H21" s="7">
        <f>IF(E21="Video",Presupuesto!$B$5,IF(E21="Carrusel",Presupuesto!$B$6,IF(E21="Historias",Presupuesto!$B$7,0)))</f>
        <v/>
      </c>
    </row>
    <row r="22">
      <c r="A22" s="12" t="inlineStr">
        <is>
          <t>H4</t>
        </is>
      </c>
      <c r="B22" s="13" t="n">
        <v>46356</v>
      </c>
      <c r="C22" s="14" t="inlineStr">
        <is>
          <t>Bride</t>
        </is>
      </c>
      <c r="D22" s="14" t="inlineStr">
        <is>
          <t>Última llamada antes de vacaciones</t>
        </is>
      </c>
      <c r="E22" s="14" t="inlineStr">
        <is>
          <t>Historias</t>
        </is>
      </c>
      <c r="F22" s="14" t="inlineStr">
        <is>
          <t>Historias (opcional)</t>
        </is>
      </c>
      <c r="G22" s="14" t="inlineStr">
        <is>
          <t>A</t>
        </is>
      </c>
      <c r="H22" s="7">
        <f>IF(E22="Video",Presupuesto!$B$5,IF(E22="Carrusel",Presupuesto!$B$6,IF(E22="Historias",Presupuesto!$B$7,0)))</f>
        <v/>
      </c>
    </row>
    <row r="23">
      <c r="A23" s="12" t="inlineStr">
        <is>
          <t>B1</t>
        </is>
      </c>
      <c r="B23" s="13" t="n">
        <v>46371</v>
      </c>
      <c r="C23" s="14" t="inlineStr">
        <is>
          <t>Alado &amp; Co.</t>
        </is>
      </c>
      <c r="D23" s="14" t="inlineStr">
        <is>
          <t>No es solo Navidad (flores y caballos todo el año)</t>
        </is>
      </c>
      <c r="E23" s="14" t="inlineStr">
        <is>
          <t>Video</t>
        </is>
      </c>
      <c r="F23" s="14" t="inlineStr">
        <is>
          <t>Fase B</t>
        </is>
      </c>
      <c r="G23" s="14" t="inlineStr">
        <is>
          <t>A</t>
        </is>
      </c>
      <c r="H23" s="7">
        <f>IF(E23="Video",Presupuesto!$B$5,IF(E23="Carrusel",Presupuesto!$B$6,IF(E23="Historias",Presupuesto!$B$7,0)))</f>
        <v/>
      </c>
    </row>
    <row r="24">
      <c r="A24" s="12" t="inlineStr">
        <is>
          <t>B2</t>
        </is>
      </c>
      <c r="B24" s="13" t="n">
        <v>46374</v>
      </c>
      <c r="C24" s="14" t="inlineStr">
        <is>
          <t>Alado</t>
        </is>
      </c>
      <c r="D24" s="14" t="inlineStr">
        <is>
          <t>Regala Alado (envolver, ASMR)</t>
        </is>
      </c>
      <c r="E24" s="14" t="inlineStr">
        <is>
          <t>Video</t>
        </is>
      </c>
      <c r="F24" s="14" t="inlineStr">
        <is>
          <t>Fase B</t>
        </is>
      </c>
      <c r="G24" s="14" t="inlineStr">
        <is>
          <t>A</t>
        </is>
      </c>
      <c r="H24" s="7">
        <f>IF(E24="Video",Presupuesto!$B$5,IF(E24="Carrusel",Presupuesto!$B$6,IF(E24="Historias",Presupuesto!$B$7,0)))</f>
        <v/>
      </c>
    </row>
    <row r="25">
      <c r="A25" s="12" t="inlineStr">
        <is>
          <t>B3</t>
        </is>
      </c>
      <c r="B25" s="13" t="n">
        <v>46378</v>
      </c>
      <c r="C25" s="14" t="inlineStr">
        <is>
          <t>Alado &amp; Co.</t>
        </is>
      </c>
      <c r="D25" s="14" t="inlineStr">
        <is>
          <t>Cómo montar una mesa que se recuerde</t>
        </is>
      </c>
      <c r="E25" s="14" t="inlineStr">
        <is>
          <t>Video</t>
        </is>
      </c>
      <c r="F25" s="14" t="inlineStr">
        <is>
          <t>Fase B</t>
        </is>
      </c>
      <c r="G25" s="14" t="inlineStr">
        <is>
          <t>A</t>
        </is>
      </c>
      <c r="H25" s="7">
        <f>IF(E25="Video",Presupuesto!$B$5,IF(E25="Carrusel",Presupuesto!$B$6,IF(E25="Historias",Presupuesto!$B$7,0)))</f>
        <v/>
      </c>
    </row>
    <row r="26">
      <c r="A26" s="12" t="inlineStr">
        <is>
          <t>B4</t>
        </is>
      </c>
      <c r="B26" s="13" t="n">
        <v>46385</v>
      </c>
      <c r="C26" s="14" t="inlineStr">
        <is>
          <t>Alado &amp; Co.</t>
        </is>
      </c>
      <c r="D26" s="14" t="inlineStr">
        <is>
          <t>Del dibujo al textil</t>
        </is>
      </c>
      <c r="E26" s="14" t="inlineStr">
        <is>
          <t>Video</t>
        </is>
      </c>
      <c r="F26" s="14" t="inlineStr">
        <is>
          <t>Fase B</t>
        </is>
      </c>
      <c r="G26" s="14" t="inlineStr">
        <is>
          <t>A</t>
        </is>
      </c>
      <c r="H26" s="7">
        <f>IF(E26="Video",Presupuesto!$B$5,IF(E26="Carrusel",Presupuesto!$B$6,IF(E26="Historias",Presupuesto!$B$7,0)))</f>
        <v/>
      </c>
    </row>
    <row r="27">
      <c r="A27" s="12" t="inlineStr">
        <is>
          <t>B5</t>
        </is>
      </c>
      <c r="B27" s="13" t="n">
        <v>46392</v>
      </c>
      <c r="C27" s="14" t="inlineStr">
        <is>
          <t>Bride</t>
        </is>
      </c>
      <c r="D27" s="14" t="inlineStr">
        <is>
          <t>Notas de Alejo: novias 2027</t>
        </is>
      </c>
      <c r="E27" s="14" t="inlineStr">
        <is>
          <t>Carrusel</t>
        </is>
      </c>
      <c r="F27" s="14" t="inlineStr">
        <is>
          <t>Fase B</t>
        </is>
      </c>
      <c r="G27" s="14" t="inlineStr">
        <is>
          <t>A</t>
        </is>
      </c>
      <c r="H27" s="7">
        <f>IF(E27="Video",Presupuesto!$B$5,IF(E27="Carrusel",Presupuesto!$B$6,IF(E27="Historias",Presupuesto!$B$7,0)))</f>
        <v/>
      </c>
    </row>
    <row r="28">
      <c r="A28" s="12" t="inlineStr">
        <is>
          <t>B6</t>
        </is>
      </c>
      <c r="B28" s="13" t="n">
        <v>46396</v>
      </c>
      <c r="C28" s="14" t="inlineStr">
        <is>
          <t>Bride</t>
        </is>
      </c>
      <c r="D28" s="14" t="inlineStr">
        <is>
          <t>Cómo agendar tu cita desde el 12 de enero</t>
        </is>
      </c>
      <c r="E28" s="14" t="inlineStr">
        <is>
          <t>Carrusel</t>
        </is>
      </c>
      <c r="F28" s="14" t="inlineStr">
        <is>
          <t>Fase B</t>
        </is>
      </c>
      <c r="G28" s="14" t="inlineStr">
        <is>
          <t>A</t>
        </is>
      </c>
      <c r="H28" s="7">
        <f>IF(E28="Video",Presupuesto!$B$5,IF(E28="Carrusel",Presupuesto!$B$6,IF(E28="Historias",Presupuesto!$B$7,0)))</f>
        <v/>
      </c>
    </row>
    <row r="30">
      <c r="D30" s="2" t="inlineStr">
        <is>
          <t>Puedes cambiar fecha, formato, fase o prioridad; el presupuesto se recalcula solo.</t>
        </is>
      </c>
    </row>
  </sheetData>
  <dataValidations count="3">
    <dataValidation sqref="E2:E48" showDropDown="0" showInputMessage="0" showErrorMessage="0" allowBlank="1" type="list">
      <formula1>"Video,Carrusel,Historias"</formula1>
    </dataValidation>
    <dataValidation sqref="F2:F48" showDropDown="0" showInputMessage="0" showErrorMessage="0" allowBlank="1" type="list">
      <formula1>"Núcleo,Historias (opcional),Fase B"</formula1>
    </dataValidation>
    <dataValidation sqref="G2:G48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2026-10-02T04:40:34Z</dcterms:created>
  <dcterms:modified xsi:type="dcterms:W3CDTF">2026-10-02T04:40:34Z</dcterms:modified>
</cp:coreProperties>
</file>