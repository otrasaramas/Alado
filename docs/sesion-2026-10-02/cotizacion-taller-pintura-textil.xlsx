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ler text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</font>
    <font>
      <name val="Arial"/>
      <b val="1"/>
      <color rgb="000000FF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B3A2B"/>
      </patternFill>
    </fill>
    <fill>
      <patternFill patternType="solid">
        <fgColor rgb="00FFFF00"/>
      </patternFill>
    </fill>
    <fill>
      <patternFill patternType="solid">
        <fgColor rgb="00EFE6D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164" fontId="4" fillId="0" borderId="1" pivotButton="0" quotePrefix="0" xfId="0"/>
    <xf numFmtId="1" fontId="4" fillId="0" borderId="1" pivotButton="0" quotePrefix="0" xfId="0"/>
    <xf numFmtId="0" fontId="6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49" fontId="4" fillId="0" borderId="1" pivotButton="0" quotePrefix="0" xfId="0"/>
    <xf numFmtId="165" fontId="4" fillId="0" borderId="1" pivotButton="0" quotePrefix="0" xfId="0"/>
    <xf numFmtId="164" fontId="6" fillId="3" borderId="1" pivotButton="0" quotePrefix="0" xfId="0"/>
    <xf numFmtId="1" fontId="6" fillId="4" borderId="1" pivotButton="0" quotePrefix="0" xfId="0"/>
    <xf numFmtId="0" fontId="6" fillId="4" borderId="1" applyAlignment="1" pivotButton="0" quotePrefix="0" xfId="0">
      <alignment horizontal="center"/>
    </xf>
    <xf numFmtId="165" fontId="5" fillId="3" borderId="1" applyAlignment="1" pivotButton="0" quotePrefix="0" xfId="0">
      <alignment horizontal="center"/>
    </xf>
    <xf numFmtId="1" fontId="5" fillId="3" borderId="1" applyAlignment="1" pivotButton="0" quotePrefix="0" xfId="0">
      <alignment horizontal="center"/>
    </xf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Alado</author>
  </authors>
  <commentList>
    <comment ref="B6" authorId="0" shapeId="0">
      <text>
        <t>Dato de Sara: 15 cupos.</t>
      </text>
    </comment>
    <comment ref="B7" authorId="0" shapeId="0">
      <text>
        <t>ESTIMADO. Mira abajo el precio recomendado.</t>
      </text>
    </comment>
    <comment ref="B8" authorId="0" shapeId="0">
      <text>
        <t>Ganancia dividida entre lo que cobras. 40% = de cada $100 cobrados, $40 son ganancia.</t>
      </text>
    </comment>
    <comment ref="B10" authorId="0" shapeId="0">
      <text>
        <t>ESTIMADO. Pon 0% si no quieres colchón.</t>
      </text>
    </comment>
    <comment ref="B12" authorId="0" shapeId="0">
      <text>
        <t>Dato de Sara.</t>
      </text>
    </comment>
    <comment ref="B13" authorId="0" shapeId="0">
      <text>
        <t>Recomendado: 1 por cada 15 personas. Pon 0 si no quieres repuestos.</t>
      </text>
    </comment>
    <comment ref="B14" authorId="0" shapeId="0">
      <text>
        <t>Dato de Sara: Mercado Libre.</t>
      </text>
    </comment>
    <comment ref="B15" authorId="0" shapeId="0">
      <text>
        <t>Dato de Sara: 1 kit cada 3 personas.</t>
      </text>
    </comment>
    <comment ref="B16" authorId="0" shapeId="0">
      <text>
        <t>ESTIMADO. Si usan retazos de Alado, puede ser $0.</t>
      </text>
    </comment>
    <comment ref="B17" authorId="0" shapeId="0">
      <text>
        <t>ESTIMADO.</t>
      </text>
    </comment>
    <comment ref="B18" authorId="0" shapeId="0">
      <text>
        <t>ESTIMADO. Pon $0 si lo pone el restaurante.</t>
      </text>
    </comment>
    <comment ref="B19" authorId="0" shapeId="0">
      <text>
        <t>ESTIMADO.</t>
      </text>
    </comment>
    <comment ref="B20" authorId="0" shapeId="0">
      <text>
        <t>Las 4 horas son dato de Sara; la hora de preparación es estimada.</t>
      </text>
    </comment>
    <comment ref="B21" authorId="0" shapeId="0">
      <text>
        <t>Dato de Sara.</t>
      </text>
    </comment>
    <comment ref="B22" authorId="0" shapeId="0">
      <text>
        <t>Son los fundadores. Pon un valor si quieres imputar su tiempo.</t>
      </text>
    </comment>
    <comment ref="B23" authorId="0" shapeId="0">
      <text>
        <t>ESTIMADO. Se compran una vez; en el próximo taller cuestan menos.</t>
      </text>
    </comment>
    <comment ref="B24" authorId="0" shapeId="0">
      <text>
        <t>Los del taller de cerámica se pueden reutilizar.</t>
      </text>
    </comment>
    <comment ref="B25" authorId="0" shapeId="0">
      <text>
        <t>ESTIMADO.</t>
      </text>
    </comment>
    <comment ref="B26" authorId="0" shapeId="0">
      <text>
        <t>Sara indicó que el contenido lo dan Alejo, Laura y Andrés: $0. Pon un valor si se carga contenido de redes a este taller.</t>
      </text>
    </comment>
    <comment ref="B49" authorId="0" shapeId="0">
      <text>
        <t>Propuesta de partida. Súbelo o bájalo según lo que negocies.</t>
      </text>
    </comment>
    <comment ref="B52" authorId="0" shapeId="0">
      <text>
        <t>Presupuesto de Sara para el restaurante. Cámbialo cuando negocies: la ganancia se recalcula sola.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68" customWidth="1" min="1" max="1"/>
    <col width="17" customWidth="1" min="2" max="2"/>
    <col width="17" customWidth="1" min="3" max="3"/>
    <col width="17" customWidth="1" min="4" max="4"/>
    <col width="14" customWidth="1" min="5" max="5"/>
    <col width="22" customWidth="1" min="6" max="6"/>
    <col width="18" customWidth="1" min="7" max="7"/>
  </cols>
  <sheetData>
    <row r="1">
      <c r="A1" s="1" t="inlineStr">
        <is>
          <t>Taller de pintura textil · pinta tu kimono Alado · precio del cupo, margen y ganancia</t>
        </is>
      </c>
    </row>
    <row r="2">
      <c r="A2" s="2" t="inlineStr">
        <is>
          <t>4 horas · con Andrés, Alejo y Laura · en un restaurante · cada persona pinta y se lleva un kimono</t>
        </is>
      </c>
    </row>
    <row r="3">
      <c r="A3" s="2" t="inlineStr">
        <is>
          <t>Edita solo las celdas AMARILLAS. Lo marcado ESTIMADO no es un dato real: reemplázalo cuando lo tengas.</t>
        </is>
      </c>
    </row>
    <row r="5">
      <c r="A5" s="3" t="inlineStr">
        <is>
          <t>EDITA ESTO</t>
        </is>
      </c>
    </row>
    <row r="6">
      <c r="A6" s="4" t="inlineStr">
        <is>
          <t>Nº de personas</t>
        </is>
      </c>
      <c r="B6" s="5" t="n">
        <v>15</v>
      </c>
    </row>
    <row r="7">
      <c r="A7" s="4" t="inlineStr">
        <is>
          <t>Precio del cupo (lo que cobras)</t>
        </is>
      </c>
      <c r="B7" s="6" t="n">
        <v>350000</v>
      </c>
    </row>
    <row r="8">
      <c r="A8" s="4" t="inlineStr">
        <is>
          <t>Margen de ganancia que quieres (sobre ventas)</t>
        </is>
      </c>
      <c r="B8" s="7" t="n">
        <v>0.4</v>
      </c>
    </row>
    <row r="9">
      <c r="A9" s="4" t="inlineStr">
        <is>
          <t>Comisión de pago online (0% si es transferencia)</t>
        </is>
      </c>
      <c r="B9" s="7" t="n">
        <v>0</v>
      </c>
    </row>
    <row r="10">
      <c r="A10" s="4" t="inlineStr">
        <is>
          <t>Imprevistos (% de los costos)</t>
        </is>
      </c>
      <c r="B10" s="7" t="n">
        <v>0.05</v>
      </c>
    </row>
    <row r="11">
      <c r="A11" s="4" t="inlineStr">
        <is>
          <t>Kimonos por persona (cantidad)</t>
        </is>
      </c>
      <c r="B11" s="5" t="n">
        <v>1</v>
      </c>
    </row>
    <row r="12">
      <c r="A12" s="4" t="inlineStr">
        <is>
          <t>Costo de 1 kimono en blanco para pintar</t>
        </is>
      </c>
      <c r="B12" s="6" t="n">
        <v>80000</v>
      </c>
    </row>
    <row r="13">
      <c r="A13" s="4" t="inlineStr">
        <is>
          <t>Kimonos de repuesto por si alguno se daña (cantidad total)</t>
        </is>
      </c>
      <c r="B13" s="5" t="n">
        <v>1</v>
      </c>
    </row>
    <row r="14">
      <c r="A14" s="4" t="inlineStr">
        <is>
          <t>Kit de pintura textil · precio (6 frascos de 30 cc)</t>
        </is>
      </c>
      <c r="B14" s="6" t="n">
        <v>27600</v>
      </c>
    </row>
    <row r="15">
      <c r="A15" s="4" t="inlineStr">
        <is>
          <t>Personas que comparten 1 kit</t>
        </is>
      </c>
      <c r="B15" s="5" t="n">
        <v>3</v>
      </c>
    </row>
    <row r="16">
      <c r="A16" s="4" t="inlineStr">
        <is>
          <t>Hojas y retazos de tela para practicar (por persona)</t>
        </is>
      </c>
      <c r="B16" s="6" t="n">
        <v>3000</v>
      </c>
    </row>
    <row r="17">
      <c r="A17" s="4" t="inlineStr">
        <is>
          <t>Pinceles y materiales que se gastan (por persona)</t>
        </is>
      </c>
      <c r="B17" s="6" t="n">
        <v>8000</v>
      </c>
    </row>
    <row r="18">
      <c r="A18" s="4" t="inlineStr">
        <is>
          <t>Refrigerio (por persona)</t>
        </is>
      </c>
      <c r="B18" s="6" t="n">
        <v>20000</v>
      </c>
    </row>
    <row r="19">
      <c r="A19" s="4" t="inlineStr">
        <is>
          <t>Empaque para llevarse el kimono (por persona)</t>
        </is>
      </c>
      <c r="B19" s="6" t="n">
        <v>5000</v>
      </c>
    </row>
    <row r="20">
      <c r="A20" s="4" t="inlineStr">
        <is>
          <t>Laura · horas (4 del taller + 1 de preparación)</t>
        </is>
      </c>
      <c r="B20" s="5" t="n">
        <v>5</v>
      </c>
    </row>
    <row r="21">
      <c r="A21" s="4" t="inlineStr">
        <is>
          <t>Laura · valor por hora</t>
        </is>
      </c>
      <c r="B21" s="6" t="n">
        <v>13000</v>
      </c>
    </row>
    <row r="22">
      <c r="A22" s="4" t="inlineStr">
        <is>
          <t>Andrés y Alejo (tiempo imputado, total)</t>
        </is>
      </c>
      <c r="B22" s="6" t="n">
        <v>0</v>
      </c>
    </row>
    <row r="23">
      <c r="A23" s="4" t="inlineStr">
        <is>
          <t>Materiales reutilizables: pinceles, paletas, vasos, cinta y plástico (total)</t>
        </is>
      </c>
      <c r="B23" s="6" t="n">
        <v>150000</v>
      </c>
    </row>
    <row r="24">
      <c r="A24" s="4" t="inlineStr">
        <is>
          <t>Delantales (total; $0 si ya los tienen)</t>
        </is>
      </c>
      <c r="B24" s="6" t="n">
        <v>0</v>
      </c>
    </row>
    <row r="25">
      <c r="A25" s="4" t="inlineStr">
        <is>
          <t>Otros fijos: transporte, flores, promoción (total)</t>
        </is>
      </c>
      <c r="B25" s="6" t="n">
        <v>190000</v>
      </c>
    </row>
    <row r="26">
      <c r="A26" s="4" t="inlineStr">
        <is>
          <t>Contenido del taller (piezas de Sara)</t>
        </is>
      </c>
      <c r="B26" s="6" t="n">
        <v>0</v>
      </c>
    </row>
    <row r="27">
      <c r="A27" s="4" t="inlineStr">
        <is>
          <t>Pago al restaurante (total) · se escribe en la sección «Pago al restaurante»</t>
        </is>
      </c>
      <c r="B27" s="8">
        <f>B52</f>
        <v/>
      </c>
    </row>
    <row r="29">
      <c r="A29" s="3" t="inlineStr">
        <is>
          <t>RESULTADO</t>
        </is>
      </c>
    </row>
    <row r="30">
      <c r="A30" s="4" t="inlineStr">
        <is>
          <t>Kits de pintura textil necesarios (redondeado hacia arriba)</t>
        </is>
      </c>
      <c r="B30" s="9">
        <f>ROUNDUP(B6/B15,0)</f>
        <v/>
      </c>
    </row>
    <row r="31">
      <c r="A31" s="4" t="inlineStr">
        <is>
          <t>Costo de la pintura textil</t>
        </is>
      </c>
      <c r="B31" s="8">
        <f>B30*B14</f>
        <v/>
      </c>
    </row>
    <row r="32">
      <c r="A32" s="4" t="inlineStr">
        <is>
          <t>Costo variable por persona (kimono, práctica, pinceles, refrigerio, empaque)</t>
        </is>
      </c>
      <c r="B32" s="8">
        <f>B11*B12+B16+B17+B18+B19</f>
        <v/>
      </c>
    </row>
    <row r="33">
      <c r="A33" s="4" t="inlineStr">
        <is>
          <t>Kimonos de repuesto</t>
        </is>
      </c>
      <c r="B33" s="8">
        <f>B13*B12</f>
        <v/>
      </c>
    </row>
    <row r="34">
      <c r="A34" s="4" t="inlineStr">
        <is>
          <t>Costos fijos (Laura, fundadores, materiales, delantales, otros, contenido y repuestos)</t>
        </is>
      </c>
      <c r="B34" s="8">
        <f>B20*B21+B22+B23+B24+B25+B26+B33</f>
        <v/>
      </c>
    </row>
    <row r="35">
      <c r="A35" s="4" t="inlineStr">
        <is>
          <t>Costos base (fijos + variables × personas + pintura)</t>
        </is>
      </c>
      <c r="B35" s="8">
        <f>B34+B32*B6+B31</f>
        <v/>
      </c>
    </row>
    <row r="36">
      <c r="A36" s="4" t="inlineStr">
        <is>
          <t>Imprevistos</t>
        </is>
      </c>
      <c r="B36" s="8">
        <f>B35*B10</f>
        <v/>
      </c>
    </row>
    <row r="37">
      <c r="A37" s="4" t="inlineStr">
        <is>
          <t>Pago al restaurante</t>
        </is>
      </c>
      <c r="B37" s="8">
        <f>B27</f>
        <v/>
      </c>
    </row>
    <row r="38">
      <c r="A38" s="10" t="inlineStr">
        <is>
          <t>COSTO TOTAL del taller</t>
        </is>
      </c>
      <c r="B38" s="11">
        <f>B35+B36+B37</f>
        <v/>
      </c>
    </row>
    <row r="39">
      <c r="A39" s="4" t="inlineStr">
        <is>
          <t>Costo por persona</t>
        </is>
      </c>
      <c r="B39" s="8">
        <f>B38/B6</f>
        <v/>
      </c>
    </row>
    <row r="40">
      <c r="A40" s="4" t="inlineStr">
        <is>
          <t>Ingresos por cupos (precio × personas)</t>
        </is>
      </c>
      <c r="B40" s="8">
        <f>B7*B6</f>
        <v/>
      </c>
    </row>
    <row r="41">
      <c r="A41" s="4" t="inlineStr">
        <is>
          <t>Comisión de pago online</t>
        </is>
      </c>
      <c r="B41" s="8">
        <f>B40*B9</f>
        <v/>
      </c>
    </row>
    <row r="42">
      <c r="A42" s="10" t="inlineStr">
        <is>
          <t>GANANCIA (después de pagarle al restaurante)</t>
        </is>
      </c>
      <c r="B42" s="11">
        <f>B40-B41-B38</f>
        <v/>
      </c>
    </row>
    <row r="43">
      <c r="A43" s="10" t="inlineStr">
        <is>
          <t>MARGEN real (ganancia ÷ ingresos)</t>
        </is>
      </c>
      <c r="B43" s="12">
        <f>IF(B40&gt;0,B42/B40,0)</f>
        <v/>
      </c>
    </row>
    <row r="44">
      <c r="A44" s="4" t="inlineStr">
        <is>
          <t>Ganancia por persona</t>
        </is>
      </c>
      <c r="B44" s="8">
        <f>B42/B6</f>
        <v/>
      </c>
    </row>
    <row r="45">
      <c r="A45" s="4" t="inlineStr">
        <is>
          <t>¿Cumple el margen que quieres?</t>
        </is>
      </c>
      <c r="B45" s="13">
        <f>IF(B43&gt;=B8,"Sí, cumple","No: está por debajo")</f>
        <v/>
      </c>
    </row>
    <row r="47">
      <c r="A47" s="3" t="inlineStr">
        <is>
          <t>PAGO AL RESTAURANTE</t>
        </is>
      </c>
    </row>
    <row r="48">
      <c r="A48" s="4" t="inlineStr">
        <is>
          <t>Ganancia antes de pagarle al restaurante</t>
        </is>
      </c>
      <c r="B48" s="8">
        <f>B40-B41-(B35+B36)</f>
        <v/>
      </c>
    </row>
    <row r="49">
      <c r="A49" s="4" t="inlineStr">
        <is>
          <t>% de esa ganancia que le ofreces al restaurante</t>
        </is>
      </c>
      <c r="B49" s="7" t="n">
        <v>0.3</v>
      </c>
    </row>
    <row r="50">
      <c r="A50" s="10" t="inlineStr">
        <is>
          <t>PAGO SUGERIDO (redondeado a $5.000)</t>
        </is>
      </c>
      <c r="B50" s="11">
        <f>MAX(0,ROUNDDOWN(B48*B49/5000,0)*5000)</f>
        <v/>
      </c>
    </row>
    <row r="51">
      <c r="A51" s="4" t="inlineStr">
        <is>
          <t>…por persona</t>
        </is>
      </c>
      <c r="B51" s="8">
        <f>B50/B6</f>
        <v/>
      </c>
    </row>
    <row r="52">
      <c r="A52" s="10" t="inlineStr">
        <is>
          <t>LO QUE ACUERDAS PAGAR (escribe aquí; presupuesto de Sara: $500.000)</t>
        </is>
      </c>
      <c r="B52" s="6" t="n">
        <v>500000</v>
      </c>
    </row>
    <row r="53">
      <c r="A53" s="10" t="inlineStr">
        <is>
          <t>TU GANANCIA después de pagarle</t>
        </is>
      </c>
      <c r="B53" s="11">
        <f>B48-B52</f>
        <v/>
      </c>
    </row>
    <row r="54">
      <c r="A54" s="4" t="inlineStr">
        <is>
          <t>Tu margen después de pagarle</t>
        </is>
      </c>
      <c r="B54" s="14">
        <f>IF(B40&gt;0,B53/B40,0)</f>
        <v/>
      </c>
    </row>
    <row r="55">
      <c r="A55" s="4" t="inlineStr">
        <is>
          <t>Máximo que puedes pagar sin perder dinero</t>
        </is>
      </c>
      <c r="B55" s="8">
        <f>MAX(0,B48)</f>
        <v/>
      </c>
    </row>
    <row r="56">
      <c r="A56" s="4" t="inlineStr">
        <is>
          <t>Aviso</t>
        </is>
      </c>
      <c r="B56" s="13">
        <f>IF(B52&gt;B48,"Cuidado: con ese pago pierdes dinero",IF(B54&lt;B8,"Ganas, pero por debajo de tu margen","Cumples tu margen"))</f>
        <v/>
      </c>
    </row>
    <row r="58">
      <c r="A58" s="3" t="inlineStr">
        <is>
          <t>CUÁNTO DEBE VALER EL CUPO</t>
        </is>
      </c>
    </row>
    <row r="59">
      <c r="A59" s="4" t="inlineStr">
        <is>
          <t>Precio mínimo (no pierdes ni ganas)</t>
        </is>
      </c>
      <c r="B59" s="8">
        <f>B38/(B6*(1-B9))</f>
        <v/>
      </c>
    </row>
    <row r="60">
      <c r="A60" s="10" t="inlineStr">
        <is>
          <t>PRECIO RECOMENDADO para tu margen (redondeado a $5.000)</t>
        </is>
      </c>
      <c r="B60" s="15">
        <f>IF(1-B9-B8&lt;=0,"Revisa el margen",ROUNDUP(B38/(B6*(1-B9-B8))/5000,0)*5000)</f>
        <v/>
      </c>
    </row>
    <row r="61">
      <c r="A61" s="4" t="inlineStr">
        <is>
          <t>Diferencia con el precio que cobras hoy</t>
        </is>
      </c>
      <c r="B61" s="8">
        <f>IF(ISNUMBER(B60),B60-B7,"")</f>
        <v/>
      </c>
    </row>
    <row r="62">
      <c r="A62" s="4" t="inlineStr">
        <is>
          <t>Máximo que puedes pagarle al restaurante y mantener tu margen</t>
        </is>
      </c>
      <c r="B62" s="8">
        <f>B40*(1-B9-B8)-(B35+B36)</f>
        <v/>
      </c>
      <c r="C62" s="2" t="inlineStr">
        <is>
          <t>(negativo = el precio no alcanza)</t>
        </is>
      </c>
    </row>
    <row r="64">
      <c r="A64" s="3" t="inlineStr">
        <is>
          <t>PUNTO DE EQUILIBRIO (aproximado: la pintura se compra en kits de 6 frascos)</t>
        </is>
      </c>
    </row>
    <row r="65">
      <c r="A65" s="10" t="inlineStr">
        <is>
          <t>Personas necesarias para no perder</t>
        </is>
      </c>
      <c r="B65" s="16">
        <f>IF(B7*(1-B9)-(B32+B14/B15)*(1+B10)&gt;0,ROUNDUP((B34*(1+B10)+B27)/(B7*(1-B9)-(B32+B14/B15)*(1+B10)),0),"No alcanza con este precio")</f>
        <v/>
      </c>
    </row>
    <row r="66">
      <c r="A66" s="4" t="inlineStr">
        <is>
          <t>Ingresos necesarios para no perder</t>
        </is>
      </c>
      <c r="B66" s="8">
        <f>IF(ISNUMBER(B65),B65*B7,"")</f>
        <v/>
      </c>
    </row>
    <row r="67">
      <c r="A67" s="4" t="inlineStr">
        <is>
          <t>Aporte de cada cupo a los costos fijos (precio menos su costo variable)</t>
        </is>
      </c>
      <c r="B67" s="8">
        <f>B7*(1-B9)-(B32+B14/B15)*(1+B10)</f>
        <v/>
      </c>
    </row>
    <row r="68">
      <c r="A68" s="4" t="inlineStr">
        <is>
          <t>Personas por encima (+) o por debajo (−) del equilibrio</t>
        </is>
      </c>
      <c r="B68" s="9">
        <f>IF(ISNUMBER(B65),B6-B65,"")</f>
        <v/>
      </c>
    </row>
    <row r="69">
      <c r="A69" s="4" t="inlineStr">
        <is>
          <t>¿Con tu número de personas cubres costos?</t>
        </is>
      </c>
      <c r="B69" s="13">
        <f>IF(ISNUMBER(B65),IF(B6&gt;=B65,"Sí, cubres costos","No, pierdes dinero"),"")</f>
        <v/>
      </c>
    </row>
    <row r="71">
      <c r="A71" s="3" t="inlineStr">
        <is>
          <t>PRECIO DEL CUPO SEGÚN EL MARGEN QUE QUIERAS</t>
        </is>
      </c>
    </row>
    <row r="72">
      <c r="A72" s="17" t="inlineStr">
        <is>
          <t>Margen</t>
        </is>
      </c>
      <c r="B72" s="17" t="inlineStr">
        <is>
          <t>Precio del cupo</t>
        </is>
      </c>
      <c r="C72" s="17" t="inlineStr">
        <is>
          <t>Ganancia total</t>
        </is>
      </c>
    </row>
    <row r="73">
      <c r="A73" s="18" t="n">
        <v>0.2</v>
      </c>
      <c r="B73" s="8">
        <f>IF(1-B9-A73&lt;=0,"",ROUNDUP(B38/(B6*(1-B9-A73))/5000,0)*5000)</f>
        <v/>
      </c>
      <c r="C73" s="8">
        <f>IF(ISNUMBER(B73),B73*B6*(1-B9)-B38,"")</f>
        <v/>
      </c>
    </row>
    <row r="74">
      <c r="A74" s="18" t="n">
        <v>0.3</v>
      </c>
      <c r="B74" s="8">
        <f>IF(1-B9-A74&lt;=0,"",ROUNDUP(B38/(B6*(1-B9-A74))/5000,0)*5000)</f>
        <v/>
      </c>
      <c r="C74" s="8">
        <f>IF(ISNUMBER(B74),B74*B6*(1-B9)-B38,"")</f>
        <v/>
      </c>
    </row>
    <row r="75">
      <c r="A75" s="18" t="n">
        <v>0.4</v>
      </c>
      <c r="B75" s="8">
        <f>IF(1-B9-A75&lt;=0,"",ROUNDUP(B38/(B6*(1-B9-A75))/5000,0)*5000)</f>
        <v/>
      </c>
      <c r="C75" s="8">
        <f>IF(ISNUMBER(B75),B75*B6*(1-B9)-B38,"")</f>
        <v/>
      </c>
    </row>
    <row r="76">
      <c r="A76" s="18" t="n">
        <v>0.5</v>
      </c>
      <c r="B76" s="8">
        <f>IF(1-B9-A76&lt;=0,"",ROUNDUP(B38/(B6*(1-B9-A76))/5000,0)*5000)</f>
        <v/>
      </c>
      <c r="C76" s="8">
        <f>IF(ISNUMBER(B76),B76*B6*(1-B9)-B38,"")</f>
        <v/>
      </c>
    </row>
    <row r="78">
      <c r="A78" s="3" t="inlineStr">
        <is>
          <t>SI CAMBIA EL NÚMERO DE PERSONAS</t>
        </is>
      </c>
    </row>
    <row r="79">
      <c r="A79" s="17" t="inlineStr">
        <is>
          <t>Personas</t>
        </is>
      </c>
      <c r="B79" s="17" t="inlineStr">
        <is>
          <t>Ingresos</t>
        </is>
      </c>
      <c r="C79" s="17" t="inlineStr">
        <is>
          <t>Costo total</t>
        </is>
      </c>
      <c r="D79" s="17" t="inlineStr">
        <is>
          <t>Ganancia</t>
        </is>
      </c>
      <c r="E79" s="17" t="inlineStr">
        <is>
          <t>Margen</t>
        </is>
      </c>
      <c r="F79" s="17" t="inlineStr">
        <is>
          <t>Precio para tu margen</t>
        </is>
      </c>
      <c r="G79" s="17" t="inlineStr">
        <is>
          <t>¿Cubre costos?</t>
        </is>
      </c>
    </row>
    <row r="80">
      <c r="A80" s="19" t="n">
        <v>8</v>
      </c>
      <c r="B80" s="8">
        <f>B7*A80</f>
        <v/>
      </c>
      <c r="C80" s="8">
        <f>(B34+B32*A80+ROUNDUP(A80/B15,0)*B14)*(1+B10)+B27</f>
        <v/>
      </c>
      <c r="D80" s="20">
        <f>B80*(1-B9)-C80</f>
        <v/>
      </c>
      <c r="E80" s="14">
        <f>IF(B80&gt;0,D80/B80,0)</f>
        <v/>
      </c>
      <c r="F80" s="8">
        <f>IF(1-B9-B8&lt;=0,"",ROUNDUP(C80/(A80*(1-B9-B8))/5000,0)*5000)</f>
        <v/>
      </c>
      <c r="G80" s="13">
        <f>IF(D80&gt;=0,"Sí","No: pierdes")</f>
        <v/>
      </c>
    </row>
    <row r="81">
      <c r="A81" s="19" t="n">
        <v>10</v>
      </c>
      <c r="B81" s="8">
        <f>B7*A81</f>
        <v/>
      </c>
      <c r="C81" s="8">
        <f>(B34+B32*A81+ROUNDUP(A81/B15,0)*B14)*(1+B10)+B27</f>
        <v/>
      </c>
      <c r="D81" s="20">
        <f>B81*(1-B9)-C81</f>
        <v/>
      </c>
      <c r="E81" s="14">
        <f>IF(B81&gt;0,D81/B81,0)</f>
        <v/>
      </c>
      <c r="F81" s="8">
        <f>IF(1-B9-B8&lt;=0,"",ROUNDUP(C81/(A81*(1-B9-B8))/5000,0)*5000)</f>
        <v/>
      </c>
      <c r="G81" s="13">
        <f>IF(D81&gt;=0,"Sí","No: pierdes")</f>
        <v/>
      </c>
    </row>
    <row r="82">
      <c r="A82" s="19" t="n">
        <v>12</v>
      </c>
      <c r="B82" s="8">
        <f>B7*A82</f>
        <v/>
      </c>
      <c r="C82" s="8">
        <f>(B34+B32*A82+ROUNDUP(A82/B15,0)*B14)*(1+B10)+B27</f>
        <v/>
      </c>
      <c r="D82" s="20">
        <f>B82*(1-B9)-C82</f>
        <v/>
      </c>
      <c r="E82" s="14">
        <f>IF(B82&gt;0,D82/B82,0)</f>
        <v/>
      </c>
      <c r="F82" s="8">
        <f>IF(1-B9-B8&lt;=0,"",ROUNDUP(C82/(A82*(1-B9-B8))/5000,0)*5000)</f>
        <v/>
      </c>
      <c r="G82" s="13">
        <f>IF(D82&gt;=0,"Sí","No: pierdes")</f>
        <v/>
      </c>
    </row>
    <row r="83">
      <c r="A83" s="19" t="n">
        <v>15</v>
      </c>
      <c r="B83" s="8">
        <f>B7*A83</f>
        <v/>
      </c>
      <c r="C83" s="8">
        <f>(B34+B32*A83+ROUNDUP(A83/B15,0)*B14)*(1+B10)+B27</f>
        <v/>
      </c>
      <c r="D83" s="20">
        <f>B83*(1-B9)-C83</f>
        <v/>
      </c>
      <c r="E83" s="14">
        <f>IF(B83&gt;0,D83/B83,0)</f>
        <v/>
      </c>
      <c r="F83" s="8">
        <f>IF(1-B9-B8&lt;=0,"",ROUNDUP(C83/(A83*(1-B9-B8))/5000,0)*5000)</f>
        <v/>
      </c>
      <c r="G83" s="13">
        <f>IF(D83&gt;=0,"Sí","No: pierdes")</f>
        <v/>
      </c>
    </row>
    <row r="84">
      <c r="A84" s="19" t="n">
        <v>18</v>
      </c>
      <c r="B84" s="8">
        <f>B7*A84</f>
        <v/>
      </c>
      <c r="C84" s="8">
        <f>(B34+B32*A84+ROUNDUP(A84/B15,0)*B14)*(1+B10)+B27</f>
        <v/>
      </c>
      <c r="D84" s="20">
        <f>B84*(1-B9)-C84</f>
        <v/>
      </c>
      <c r="E84" s="14">
        <f>IF(B84&gt;0,D84/B84,0)</f>
        <v/>
      </c>
      <c r="F84" s="8">
        <f>IF(1-B9-B8&lt;=0,"",ROUNDUP(C84/(A84*(1-B9-B8))/5000,0)*5000)</f>
        <v/>
      </c>
      <c r="G84" s="13">
        <f>IF(D84&gt;=0,"Sí","No: pierdes")</f>
        <v/>
      </c>
    </row>
    <row r="86">
      <c r="A86" s="2" t="inlineStr">
        <is>
          <t>Nota: las pinturas textiles se fijan con calor (plancha o vapor) después de pintar; hay que prever plancha y enchufes en el restaurante.</t>
        </is>
      </c>
    </row>
    <row r="87">
      <c r="A87" s="2" t="inlineStr">
        <is>
          <t>Los datos marcados ESTIMADO no son cotizaciones reales. El pago al restaurante se descuenta de tu ganancia y los escenarios lo usan.</t>
        </is>
      </c>
    </row>
  </sheetData>
  <mergeCells count="12">
    <mergeCell ref="A58:G58"/>
    <mergeCell ref="A1:G1"/>
    <mergeCell ref="A3:G3"/>
    <mergeCell ref="A87:G87"/>
    <mergeCell ref="A78:G78"/>
    <mergeCell ref="A2:G2"/>
    <mergeCell ref="A86:G86"/>
    <mergeCell ref="A29:G29"/>
    <mergeCell ref="A64:G64"/>
    <mergeCell ref="A71:G71"/>
    <mergeCell ref="A47:G47"/>
    <mergeCell ref="A5:G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2026-10-02T16:24:44Z</dcterms:created>
  <dcterms:modified xsi:type="dcterms:W3CDTF">2026-10-02T16:24:44Z</dcterms:modified>
</cp:coreProperties>
</file>