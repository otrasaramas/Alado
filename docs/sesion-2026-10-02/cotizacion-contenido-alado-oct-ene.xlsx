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DD/MM/YYYY"/>
  </numFmts>
  <fonts count="12">
    <font>
      <name val="Calibri"/>
      <family val="2"/>
      <color theme="1"/>
      <sz val="11"/>
      <scheme val="minor"/>
    </font>
    <font>
      <b val="1"/>
      <color rgb="002E3A46"/>
      <sz val="16"/>
    </font>
    <font>
      <color rgb="005A6672"/>
      <sz val="10"/>
    </font>
    <font>
      <b val="1"/>
      <color rgb="005C7891"/>
    </font>
    <font>
      <b val="1"/>
      <color rgb="002E3A46"/>
    </font>
    <font>
      <b val="1"/>
      <color rgb="001F4E99"/>
    </font>
    <font>
      <i val="1"/>
      <color rgb="005A6672"/>
    </font>
    <font>
      <b val="1"/>
      <color rgb="00FFFFFF"/>
    </font>
    <font>
      <b val="1"/>
    </font>
    <font>
      <b val="1"/>
      <sz val="13"/>
    </font>
    <font>
      <i val="1"/>
      <color rgb="009C5700"/>
    </font>
    <font>
      <b val="1"/>
      <color rgb="009C5700"/>
    </font>
  </fonts>
  <fills count="6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5C7891"/>
      </patternFill>
    </fill>
    <fill>
      <patternFill patternType="solid">
        <fgColor rgb="00E6EAEE"/>
      </patternFill>
    </fill>
    <fill>
      <patternFill patternType="solid">
        <fgColor rgb="00F3F1EA"/>
      </patternFill>
    </fill>
  </fills>
  <borders count="2">
    <border>
      <left/>
      <right/>
      <top/>
      <bottom/>
      <diagonal/>
    </border>
    <border>
      <bottom style="thin">
        <color rgb="00C9D2D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vertical="center"/>
    </xf>
    <xf numFmtId="0" fontId="4" fillId="4" borderId="0" pivotButton="0" quotePrefix="0" xfId="0"/>
    <xf numFmtId="0" fontId="0" fillId="4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166" fontId="0" fillId="0" borderId="1" pivotButton="0" quotePrefix="0" xfId="0"/>
    <xf numFmtId="0" fontId="8" fillId="0" borderId="0" pivotButton="0" quotePrefix="0" xfId="0"/>
    <xf numFmtId="164" fontId="8" fillId="0" borderId="0" pivotButton="0" quotePrefix="0" xfId="0"/>
    <xf numFmtId="0" fontId="5" fillId="2" borderId="1" pivotButton="0" quotePrefix="0" xfId="0"/>
    <xf numFmtId="164" fontId="0" fillId="0" borderId="0" pivotButton="0" quotePrefix="0" xfId="0"/>
    <xf numFmtId="0" fontId="0" fillId="5" borderId="0" pivotButton="0" quotePrefix="0" xfId="0"/>
    <xf numFmtId="0" fontId="9" fillId="5" borderId="0" pivotButton="0" quotePrefix="0" xfId="0"/>
    <xf numFmtId="164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6" customWidth="1" min="4" max="4"/>
    <col width="18" customWidth="1" min="5" max="5"/>
    <col width="12" customWidth="1" min="6" max="6"/>
    <col width="16" customWidth="1" min="7" max="7"/>
    <col width="11" customWidth="1" min="8" max="8"/>
    <col width="7" customWidth="1" min="9" max="9"/>
    <col width="13" customWidth="1" min="10" max="10"/>
    <col width="14" customWidth="1" min="11" max="11"/>
    <col width="38" customWidth="1" min="12" max="12"/>
  </cols>
  <sheetData>
    <row r="1">
      <c r="A1" s="1" t="inlineStr">
        <is>
          <t>Cotización de contenido · Alado</t>
        </is>
      </c>
    </row>
    <row r="2">
      <c r="A2" s="2" t="inlineStr">
        <is>
          <t>Alado Bride y Alado &amp; Co. · octubre 2026 – enero 2027 · Preparada por Sara · 14 de octubre de 2026</t>
        </is>
      </c>
    </row>
    <row r="4">
      <c r="A4" s="3" t="inlineStr">
        <is>
          <t>TARIFAS · edita las celdas amarillas</t>
        </is>
      </c>
    </row>
    <row r="5">
      <c r="B5" s="4" t="inlineStr">
        <is>
          <t>Video</t>
        </is>
      </c>
      <c r="C5" s="5" t="n">
        <v>200000</v>
      </c>
      <c r="D5" s="6" t="inlineStr">
        <is>
          <t>Grabado y editado</t>
        </is>
      </c>
    </row>
    <row r="6">
      <c r="B6" s="4" t="inlineStr">
        <is>
          <t>Carrusel</t>
        </is>
      </c>
      <c r="C6" s="5" t="n">
        <v>170000</v>
      </c>
      <c r="D6" s="6" t="inlineStr"/>
    </row>
    <row r="7">
      <c r="B7" s="4" t="inlineStr">
        <is>
          <t>Historias</t>
        </is>
      </c>
      <c r="C7" s="5" t="n">
        <v>120000</v>
      </c>
      <c r="D7" s="6" t="inlineStr">
        <is>
          <t>Set de historias</t>
        </is>
      </c>
    </row>
    <row r="8">
      <c r="B8" s="4" t="inlineStr">
        <is>
          <t>Pieza gráfica</t>
        </is>
      </c>
      <c r="C8" s="5" t="n">
        <v>120000</v>
      </c>
      <c r="D8" s="6" t="inlineStr">
        <is>
          <t>Por confirmar: hoy igual al set de historias</t>
        </is>
      </c>
    </row>
    <row r="9">
      <c r="B9" s="4" t="inlineStr">
        <is>
          <t>Gestión de taller</t>
        </is>
      </c>
      <c r="C9" s="5" t="n"/>
      <c r="D9" s="6" t="inlineStr">
        <is>
          <t>Por definir</t>
        </is>
      </c>
    </row>
    <row r="10">
      <c r="B10" s="4" t="inlineStr">
        <is>
          <t>Campaña de fotos</t>
        </is>
      </c>
      <c r="C10" s="5" t="n"/>
      <c r="D10" s="6" t="inlineStr">
        <is>
          <t>Por definir</t>
        </is>
      </c>
    </row>
    <row r="12">
      <c r="A12" s="7" t="inlineStr">
        <is>
          <t>#</t>
        </is>
      </c>
      <c r="B12" s="7" t="inlineStr">
        <is>
          <t>Línea</t>
        </is>
      </c>
      <c r="C12" s="7" t="inlineStr">
        <is>
          <t>Proyecto</t>
        </is>
      </c>
      <c r="D12" s="7" t="inlineStr">
        <is>
          <t>Pieza</t>
        </is>
      </c>
      <c r="E12" s="7" t="inlineStr">
        <is>
          <t>Formato</t>
        </is>
      </c>
      <c r="F12" s="7" t="inlineStr">
        <is>
          <t>Graba</t>
        </is>
      </c>
      <c r="G12" s="7" t="inlineStr">
        <is>
          <t>Publica</t>
        </is>
      </c>
      <c r="H12" s="7" t="inlineStr">
        <is>
          <t>Mes</t>
        </is>
      </c>
      <c r="I12" s="7" t="inlineStr">
        <is>
          <t>Cant.</t>
        </is>
      </c>
      <c r="J12" s="7" t="inlineStr">
        <is>
          <t>Tarifa</t>
        </is>
      </c>
      <c r="K12" s="7" t="inlineStr">
        <is>
          <t>Subtotal</t>
        </is>
      </c>
      <c r="L12" s="7" t="inlineStr">
        <is>
          <t>Nota</t>
        </is>
      </c>
    </row>
    <row r="13">
      <c r="A13" s="8" t="inlineStr">
        <is>
          <t>ALADO BRIDE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10" t="n">
        <v>1</v>
      </c>
      <c r="B14" s="10" t="inlineStr">
        <is>
          <t>Bride</t>
        </is>
      </c>
      <c r="C14" s="10" t="inlineStr">
        <is>
          <t>Alado Bride</t>
        </is>
      </c>
      <c r="D14" s="10" t="inlineStr">
        <is>
          <t>Alejo como artista</t>
        </is>
      </c>
      <c r="E14" s="10" t="inlineStr">
        <is>
          <t>Video</t>
        </is>
      </c>
      <c r="F14" s="10" t="n"/>
      <c r="G14" s="10" t="n"/>
      <c r="H14" s="10">
        <f>IF(ISNUMBER(G14),CHOOSE(MONTH(G14),"Ene","Feb","Mar","Abr","May","Jun","Jul","Ago","Sep","Oct","Nov","Dic"),IF(G14="Lo antes posible","Oct","Por definir"))</f>
        <v/>
      </c>
      <c r="I14" s="10" t="n">
        <v>1</v>
      </c>
      <c r="J14" s="11">
        <f>IF(VLOOKUP(E14,$B$5:$C$10,2,FALSE)="","",VLOOKUP(E14,$B$5:$C$10,2,FALSE))</f>
        <v/>
      </c>
      <c r="K14" s="11">
        <f>IF(J14="","",I14*J14)</f>
        <v/>
      </c>
      <c r="L14" s="12" t="inlineStr">
        <is>
          <t>Una pieza sobre Alejo</t>
        </is>
      </c>
    </row>
    <row r="15">
      <c r="A15" s="10" t="n">
        <v>2</v>
      </c>
      <c r="B15" s="10" t="inlineStr">
        <is>
          <t>Bride</t>
        </is>
      </c>
      <c r="C15" s="10" t="inlineStr">
        <is>
          <t>Alado Bride</t>
        </is>
      </c>
      <c r="D15" s="10" t="inlineStr">
        <is>
          <t>La atención en el taller: Lola y las chicas</t>
        </is>
      </c>
      <c r="E15" s="10" t="inlineStr">
        <is>
          <t>Video</t>
        </is>
      </c>
      <c r="F15" s="10" t="n"/>
      <c r="G15" s="10" t="n"/>
      <c r="H15" s="10">
        <f>IF(ISNUMBER(G15),CHOOSE(MONTH(G15),"Ene","Feb","Mar","Abr","May","Jun","Jul","Ago","Sep","Oct","Nov","Dic"),IF(G15="Lo antes posible","Oct","Por definir"))</f>
        <v/>
      </c>
      <c r="I15" s="10" t="n">
        <v>1</v>
      </c>
      <c r="J15" s="11">
        <f>IF(VLOOKUP(E15,$B$5:$C$10,2,FALSE)="","",VLOOKUP(E15,$B$5:$C$10,2,FALSE))</f>
        <v/>
      </c>
      <c r="K15" s="11">
        <f>IF(J15="","",I15*J15)</f>
        <v/>
      </c>
      <c r="L15" s="12" t="inlineStr">
        <is>
          <t>Fecha con Andrés</t>
        </is>
      </c>
    </row>
    <row r="16">
      <c r="A16" s="10" t="n">
        <v>3</v>
      </c>
      <c r="B16" s="10" t="inlineStr">
        <is>
          <t>Bride</t>
        </is>
      </c>
      <c r="C16" s="10" t="inlineStr">
        <is>
          <t>Alado Bride</t>
        </is>
      </c>
      <c r="D16" s="10" t="inlineStr">
        <is>
          <t>7 claves del vestido perfecto</t>
        </is>
      </c>
      <c r="E16" s="10" t="inlineStr">
        <is>
          <t>Video</t>
        </is>
      </c>
      <c r="F16" s="10" t="n"/>
      <c r="G16" s="10" t="n"/>
      <c r="H16" s="10">
        <f>IF(ISNUMBER(G16),CHOOSE(MONTH(G16),"Ene","Feb","Mar","Abr","May","Jun","Jul","Ago","Sep","Oct","Nov","Dic"),IF(G16="Lo antes posible","Oct","Por definir"))</f>
        <v/>
      </c>
      <c r="I16" s="10" t="n">
        <v>1</v>
      </c>
      <c r="J16" s="11">
        <f>IF(VLOOKUP(E16,$B$5:$C$10,2,FALSE)="","",VLOOKUP(E16,$B$5:$C$10,2,FALSE))</f>
        <v/>
      </c>
      <c r="K16" s="11">
        <f>IF(J16="","",I16*J16)</f>
        <v/>
      </c>
      <c r="L16" s="12" t="inlineStr">
        <is>
          <t>Con Alejo</t>
        </is>
      </c>
    </row>
    <row r="17">
      <c r="A17" s="10" t="n">
        <v>4</v>
      </c>
      <c r="B17" s="10" t="inlineStr">
        <is>
          <t>Bride</t>
        </is>
      </c>
      <c r="C17" s="10" t="inlineStr">
        <is>
          <t>Alado Bride</t>
        </is>
      </c>
      <c r="D17" s="10" t="inlineStr">
        <is>
          <t>7 claves del traje perfecto</t>
        </is>
      </c>
      <c r="E17" s="10" t="inlineStr">
        <is>
          <t>Video</t>
        </is>
      </c>
      <c r="F17" s="10" t="n"/>
      <c r="G17" s="10" t="n"/>
      <c r="H17" s="10">
        <f>IF(ISNUMBER(G17),CHOOSE(MONTH(G17),"Ene","Feb","Mar","Abr","May","Jun","Jul","Ago","Sep","Oct","Nov","Dic"),IF(G17="Lo antes posible","Oct","Por definir"))</f>
        <v/>
      </c>
      <c r="I17" s="10" t="n">
        <v>1</v>
      </c>
      <c r="J17" s="11">
        <f>IF(VLOOKUP(E17,$B$5:$C$10,2,FALSE)="","",VLOOKUP(E17,$B$5:$C$10,2,FALSE))</f>
        <v/>
      </c>
      <c r="K17" s="11">
        <f>IF(J17="","",I17*J17)</f>
        <v/>
      </c>
      <c r="L17" s="12" t="inlineStr">
        <is>
          <t>Con Alejo</t>
        </is>
      </c>
    </row>
    <row r="18">
      <c r="A18" s="10" t="n">
        <v>5</v>
      </c>
      <c r="B18" s="10" t="inlineStr">
        <is>
          <t>Bride</t>
        </is>
      </c>
      <c r="C18" s="10" t="inlineStr">
        <is>
          <t>Alado Bride</t>
        </is>
      </c>
      <c r="D18" s="10" t="inlineStr">
        <is>
          <t>Agenda abierta hasta el 11 de diciembre</t>
        </is>
      </c>
      <c r="E18" s="10" t="inlineStr">
        <is>
          <t>Pieza gráfica</t>
        </is>
      </c>
      <c r="F18" s="10" t="n"/>
      <c r="G18" s="13" t="n">
        <v>46356</v>
      </c>
      <c r="H18" s="10">
        <f>IF(ISNUMBER(G18),CHOOSE(MONTH(G18),"Ene","Feb","Mar","Abr","May","Jun","Jul","Ago","Sep","Oct","Nov","Dic"),IF(G18="Lo antes posible","Oct","Por definir"))</f>
        <v/>
      </c>
      <c r="I18" s="10" t="n">
        <v>1</v>
      </c>
      <c r="J18" s="11">
        <f>IF(VLOOKUP(E18,$B$5:$C$10,2,FALSE)="","",VLOOKUP(E18,$B$5:$C$10,2,FALSE))</f>
        <v/>
      </c>
      <c r="K18" s="11">
        <f>IF(J18="","",I18*J18)</f>
        <v/>
      </c>
      <c r="L18" s="12" t="inlineStr"/>
    </row>
    <row r="19">
      <c r="A19" s="10" t="n">
        <v>6</v>
      </c>
      <c r="B19" s="10" t="inlineStr">
        <is>
          <t>Bride</t>
        </is>
      </c>
      <c r="C19" s="10" t="inlineStr">
        <is>
          <t>Alado Bride</t>
        </is>
      </c>
      <c r="D19" s="10" t="inlineStr">
        <is>
          <t>Notas de Alejo: novias 2027</t>
        </is>
      </c>
      <c r="E19" s="10" t="inlineStr">
        <is>
          <t>Carrusel</t>
        </is>
      </c>
      <c r="F19" s="10" t="n"/>
      <c r="G19" s="13" t="n">
        <v>46392</v>
      </c>
      <c r="H19" s="10">
        <f>IF(ISNUMBER(G19),CHOOSE(MONTH(G19),"Ene","Feb","Mar","Abr","May","Jun","Jul","Ago","Sep","Oct","Nov","Dic"),IF(G19="Lo antes posible","Oct","Por definir"))</f>
        <v/>
      </c>
      <c r="I19" s="10" t="n">
        <v>1</v>
      </c>
      <c r="J19" s="11">
        <f>IF(VLOOKUP(E19,$B$5:$C$10,2,FALSE)="","",VLOOKUP(E19,$B$5:$C$10,2,FALSE))</f>
        <v/>
      </c>
      <c r="K19" s="11">
        <f>IF(J19="","",I19*J19)</f>
        <v/>
      </c>
      <c r="L19" s="12" t="inlineStr"/>
    </row>
    <row r="20">
      <c r="J20" s="14" t="inlineStr">
        <is>
          <t>Subtotal alado bride</t>
        </is>
      </c>
      <c r="K20" s="15">
        <f>SUM(K14:K19)</f>
        <v/>
      </c>
    </row>
    <row r="22">
      <c r="A22" s="8" t="inlineStr">
        <is>
          <t>ALADO &amp; CO.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10" t="n">
        <v>7</v>
      </c>
      <c r="B23" s="10" t="inlineStr">
        <is>
          <t>Alado &amp; Co.</t>
        </is>
      </c>
      <c r="C23" s="10" t="inlineStr">
        <is>
          <t>Taller de pintura cerámica</t>
        </is>
      </c>
      <c r="D23" s="10" t="inlineStr">
        <is>
          <t>Video promocional con Andrés</t>
        </is>
      </c>
      <c r="E23" s="10" t="inlineStr">
        <is>
          <t>Video</t>
        </is>
      </c>
      <c r="F23" s="13" t="n">
        <v>46301</v>
      </c>
      <c r="G23" s="13" t="n">
        <v>46303</v>
      </c>
      <c r="H23" s="10">
        <f>IF(ISNUMBER(G23),CHOOSE(MONTH(G23),"Ene","Feb","Mar","Abr","May","Jun","Jul","Ago","Sep","Oct","Nov","Dic"),IF(G23="Lo antes posible","Oct","Por definir"))</f>
        <v/>
      </c>
      <c r="I23" s="10" t="n">
        <v>1</v>
      </c>
      <c r="J23" s="11">
        <f>IF(VLOOKUP(E23,$B$5:$C$10,2,FALSE)="","",VLOOKUP(E23,$B$5:$C$10,2,FALSE))</f>
        <v/>
      </c>
      <c r="K23" s="11">
        <f>IF(J23="","",I23*J23)</f>
        <v/>
      </c>
      <c r="L23" s="12" t="inlineStr"/>
    </row>
    <row r="24">
      <c r="A24" s="10" t="n">
        <v>8</v>
      </c>
      <c r="B24" s="10" t="inlineStr">
        <is>
          <t>Alado &amp; Co.</t>
        </is>
      </c>
      <c r="C24" s="10" t="inlineStr">
        <is>
          <t>Taller de pintura cerámica</t>
        </is>
      </c>
      <c r="D24" s="10" t="inlineStr">
        <is>
          <t>Invitación</t>
        </is>
      </c>
      <c r="E24" s="10" t="inlineStr">
        <is>
          <t>Pieza gráfica</t>
        </is>
      </c>
      <c r="F24" s="10" t="n"/>
      <c r="G24" s="13" t="n">
        <v>46302</v>
      </c>
      <c r="H24" s="10">
        <f>IF(ISNUMBER(G24),CHOOSE(MONTH(G24),"Ene","Feb","Mar","Abr","May","Jun","Jul","Ago","Sep","Oct","Nov","Dic"),IF(G24="Lo antes posible","Oct","Por definir"))</f>
        <v/>
      </c>
      <c r="I24" s="10" t="n">
        <v>1</v>
      </c>
      <c r="J24" s="11">
        <f>IF(VLOOKUP(E24,$B$5:$C$10,2,FALSE)="","",VLOOKUP(E24,$B$5:$C$10,2,FALSE))</f>
        <v/>
      </c>
      <c r="K24" s="11">
        <f>IF(J24="","",I24*J24)</f>
        <v/>
      </c>
      <c r="L24" s="12" t="inlineStr"/>
    </row>
    <row r="25">
      <c r="A25" s="10" t="n">
        <v>9</v>
      </c>
      <c r="B25" s="10" t="inlineStr">
        <is>
          <t>Alado &amp; Co.</t>
        </is>
      </c>
      <c r="C25" s="10" t="inlineStr">
        <is>
          <t>Taller de pintura cerámica</t>
        </is>
      </c>
      <c r="D25" s="10" t="inlineStr">
        <is>
          <t>Gestión y organización del taller</t>
        </is>
      </c>
      <c r="E25" s="10" t="inlineStr">
        <is>
          <t>Gestión de taller</t>
        </is>
      </c>
      <c r="F25" s="10" t="n"/>
      <c r="G25" s="13" t="n">
        <v>46312</v>
      </c>
      <c r="H25" s="10">
        <f>IF(ISNUMBER(G25),CHOOSE(MONTH(G25),"Ene","Feb","Mar","Abr","May","Jun","Jul","Ago","Sep","Oct","Nov","Dic"),IF(G25="Lo antes posible","Oct","Por definir"))</f>
        <v/>
      </c>
      <c r="I25" s="10" t="n">
        <v>1</v>
      </c>
      <c r="J25" s="11">
        <f>IF(VLOOKUP(E25,$B$5:$C$10,2,FALSE)="","",VLOOKUP(E25,$B$5:$C$10,2,FALSE))</f>
        <v/>
      </c>
      <c r="K25" s="11">
        <f>IF(J25="","",I25*J25)</f>
        <v/>
      </c>
      <c r="L25" s="12" t="inlineStr">
        <is>
          <t>Hasta el día del taller</t>
        </is>
      </c>
    </row>
    <row r="26">
      <c r="A26" s="10" t="n">
        <v>10</v>
      </c>
      <c r="B26" s="10" t="inlineStr">
        <is>
          <t>Alado &amp; Co.</t>
        </is>
      </c>
      <c r="C26" s="10" t="inlineStr">
        <is>
          <t>Taller de pintura cerámica</t>
        </is>
      </c>
      <c r="D26" s="10" t="inlineStr">
        <is>
          <t>Video del taller</t>
        </is>
      </c>
      <c r="E26" s="10" t="inlineStr">
        <is>
          <t>Video</t>
        </is>
      </c>
      <c r="F26" s="13" t="n">
        <v>46312</v>
      </c>
      <c r="G26" s="13" t="n">
        <v>46314</v>
      </c>
      <c r="H26" s="10">
        <f>IF(ISNUMBER(G26),CHOOSE(MONTH(G26),"Ene","Feb","Mar","Abr","May","Jun","Jul","Ago","Sep","Oct","Nov","Dic"),IF(G26="Lo antes posible","Oct","Por definir"))</f>
        <v/>
      </c>
      <c r="I26" s="10" t="n">
        <v>1</v>
      </c>
      <c r="J26" s="11">
        <f>IF(VLOOKUP(E26,$B$5:$C$10,2,FALSE)="","",VLOOKUP(E26,$B$5:$C$10,2,FALSE))</f>
        <v/>
      </c>
      <c r="K26" s="11">
        <f>IF(J26="","",I26*J26)</f>
        <v/>
      </c>
      <c r="L26" s="12" t="inlineStr">
        <is>
          <t>Sale 2 días después</t>
        </is>
      </c>
    </row>
    <row r="27">
      <c r="A27" s="10" t="n">
        <v>11</v>
      </c>
      <c r="B27" s="10" t="inlineStr">
        <is>
          <t>Alado &amp; Co.</t>
        </is>
      </c>
      <c r="C27" s="10" t="inlineStr">
        <is>
          <t>Grabación de Navidad</t>
        </is>
      </c>
      <c r="D27" s="10" t="inlineStr">
        <is>
          <t>Campaña de fotos de textil hogar</t>
        </is>
      </c>
      <c r="E27" s="10" t="inlineStr">
        <is>
          <t>Campaña de fotos</t>
        </is>
      </c>
      <c r="F27" s="13" t="n">
        <v>46317</v>
      </c>
      <c r="G27" s="13" t="n">
        <v>46322</v>
      </c>
      <c r="H27" s="10">
        <f>IF(ISNUMBER(G27),CHOOSE(MONTH(G27),"Ene","Feb","Mar","Abr","May","Jun","Jul","Ago","Sep","Oct","Nov","Dic"),IF(G27="Lo antes posible","Oct","Por definir"))</f>
        <v/>
      </c>
      <c r="I27" s="10" t="n">
        <v>1</v>
      </c>
      <c r="J27" s="11">
        <f>IF(VLOOKUP(E27,$B$5:$C$10,2,FALSE)="","",VLOOKUP(E27,$B$5:$C$10,2,FALSE))</f>
        <v/>
      </c>
      <c r="K27" s="11">
        <f>IF(J27="","",I27*J27)</f>
        <v/>
      </c>
      <c r="L27" s="12" t="inlineStr"/>
    </row>
    <row r="28">
      <c r="A28" s="10" t="n">
        <v>12</v>
      </c>
      <c r="B28" s="10" t="inlineStr">
        <is>
          <t>Alado &amp; Co.</t>
        </is>
      </c>
      <c r="C28" s="10" t="inlineStr">
        <is>
          <t>Grabación de Navidad</t>
        </is>
      </c>
      <c r="D28" s="10" t="inlineStr">
        <is>
          <t>Video de Navidad</t>
        </is>
      </c>
      <c r="E28" s="10" t="inlineStr">
        <is>
          <t>Video</t>
        </is>
      </c>
      <c r="F28" s="13" t="n">
        <v>46317</v>
      </c>
      <c r="G28" s="13" t="n">
        <v>46324</v>
      </c>
      <c r="H28" s="10">
        <f>IF(ISNUMBER(G28),CHOOSE(MONTH(G28),"Ene","Feb","Mar","Abr","May","Jun","Jul","Ago","Sep","Oct","Nov","Dic"),IF(G28="Lo antes posible","Oct","Por definir"))</f>
        <v/>
      </c>
      <c r="I28" s="10" t="n">
        <v>1</v>
      </c>
      <c r="J28" s="11">
        <f>IF(VLOOKUP(E28,$B$5:$C$10,2,FALSE)="","",VLOOKUP(E28,$B$5:$C$10,2,FALSE))</f>
        <v/>
      </c>
      <c r="K28" s="11">
        <f>IF(J28="","",I28*J28)</f>
        <v/>
      </c>
      <c r="L28" s="12" t="inlineStr"/>
    </row>
    <row r="29">
      <c r="A29" s="10" t="n">
        <v>13</v>
      </c>
      <c r="B29" s="10" t="inlineStr">
        <is>
          <t>Alado &amp; Co.</t>
        </is>
      </c>
      <c r="C29" s="10" t="inlineStr">
        <is>
          <t>Grabación de Navidad</t>
        </is>
      </c>
      <c r="D29" s="10" t="inlineStr">
        <is>
          <t>Video de textil hogar</t>
        </is>
      </c>
      <c r="E29" s="10" t="inlineStr">
        <is>
          <t>Video</t>
        </is>
      </c>
      <c r="F29" s="13" t="n">
        <v>46317</v>
      </c>
      <c r="G29" s="13" t="n">
        <v>46329</v>
      </c>
      <c r="H29" s="10">
        <f>IF(ISNUMBER(G29),CHOOSE(MONTH(G29),"Ene","Feb","Mar","Abr","May","Jun","Jul","Ago","Sep","Oct","Nov","Dic"),IF(G29="Lo antes posible","Oct","Por definir"))</f>
        <v/>
      </c>
      <c r="I29" s="10" t="n">
        <v>1</v>
      </c>
      <c r="J29" s="11">
        <f>IF(VLOOKUP(E29,$B$5:$C$10,2,FALSE)="","",VLOOKUP(E29,$B$5:$C$10,2,FALSE))</f>
        <v/>
      </c>
      <c r="K29" s="11">
        <f>IF(J29="","",I29*J29)</f>
        <v/>
      </c>
      <c r="L29" s="12" t="inlineStr"/>
    </row>
    <row r="30">
      <c r="A30" s="10" t="n">
        <v>14</v>
      </c>
      <c r="B30" s="10" t="inlineStr">
        <is>
          <t>Alado &amp; Co.</t>
        </is>
      </c>
      <c r="C30" s="10" t="inlineStr">
        <is>
          <t>Grabación de Navidad</t>
        </is>
      </c>
      <c r="D30" s="10" t="inlineStr">
        <is>
          <t>Video de la receta</t>
        </is>
      </c>
      <c r="E30" s="10" t="inlineStr">
        <is>
          <t>Video</t>
        </is>
      </c>
      <c r="F30" s="13" t="n">
        <v>46317</v>
      </c>
      <c r="G30" s="13" t="n">
        <v>46347</v>
      </c>
      <c r="H30" s="10">
        <f>IF(ISNUMBER(G30),CHOOSE(MONTH(G30),"Ene","Feb","Mar","Abr","May","Jun","Jul","Ago","Sep","Oct","Nov","Dic"),IF(G30="Lo antes posible","Oct","Por definir"))</f>
        <v/>
      </c>
      <c r="I30" s="10" t="n">
        <v>1</v>
      </c>
      <c r="J30" s="11">
        <f>IF(VLOOKUP(E30,$B$5:$C$10,2,FALSE)="","",VLOOKUP(E30,$B$5:$C$10,2,FALSE))</f>
        <v/>
      </c>
      <c r="K30" s="11">
        <f>IF(J30="","",I30*J30)</f>
        <v/>
      </c>
      <c r="L30" s="12" t="inlineStr"/>
    </row>
    <row r="31">
      <c r="A31" s="10" t="n">
        <v>15</v>
      </c>
      <c r="B31" s="10" t="inlineStr">
        <is>
          <t>Alado &amp; Co.</t>
        </is>
      </c>
      <c r="C31" s="10" t="inlineStr">
        <is>
          <t>La tienda</t>
        </is>
      </c>
      <c r="D31" s="10" t="inlineStr">
        <is>
          <t>Montando la tienda</t>
        </is>
      </c>
      <c r="E31" s="10" t="inlineStr">
        <is>
          <t>Video</t>
        </is>
      </c>
      <c r="F31" s="13" t="n">
        <v>46318</v>
      </c>
      <c r="G31" s="13" t="n">
        <v>46319</v>
      </c>
      <c r="H31" s="10">
        <f>IF(ISNUMBER(G31),CHOOSE(MONTH(G31),"Ene","Feb","Mar","Abr","May","Jun","Jul","Ago","Sep","Oct","Nov","Dic"),IF(G31="Lo antes posible","Oct","Por definir"))</f>
        <v/>
      </c>
      <c r="I31" s="10" t="n">
        <v>1</v>
      </c>
      <c r="J31" s="11">
        <f>IF(VLOOKUP(E31,$B$5:$C$10,2,FALSE)="","",VLOOKUP(E31,$B$5:$C$10,2,FALSE))</f>
        <v/>
      </c>
      <c r="K31" s="11">
        <f>IF(J31="","",I31*J31)</f>
        <v/>
      </c>
      <c r="L31" s="12" t="inlineStr"/>
    </row>
    <row r="32">
      <c r="A32" s="10" t="n">
        <v>16</v>
      </c>
      <c r="B32" s="10" t="inlineStr">
        <is>
          <t>Alado &amp; Co.</t>
        </is>
      </c>
      <c r="C32" s="10" t="inlineStr">
        <is>
          <t>La tela</t>
        </is>
      </c>
      <c r="D32" s="10" t="inlineStr">
        <is>
          <t>Video en el taller de los Pérez</t>
        </is>
      </c>
      <c r="E32" s="10" t="inlineStr">
        <is>
          <t>Video</t>
        </is>
      </c>
      <c r="F32" s="10" t="n"/>
      <c r="G32" s="10" t="n"/>
      <c r="H32" s="10">
        <f>IF(ISNUMBER(G32),CHOOSE(MONTH(G32),"Ene","Feb","Mar","Abr","May","Jun","Jul","Ago","Sep","Oct","Nov","Dic"),IF(G32="Lo antes posible","Oct","Por definir"))</f>
        <v/>
      </c>
      <c r="I32" s="16" t="n">
        <v>1</v>
      </c>
      <c r="J32" s="11">
        <f>IF(VLOOKUP(E32,$B$5:$C$10,2,FALSE)="","",VLOOKUP(E32,$B$5:$C$10,2,FALSE))</f>
        <v/>
      </c>
      <c r="K32" s="11">
        <f>IF(J32="","",I32*J32)</f>
        <v/>
      </c>
      <c r="L32" s="12" t="inlineStr">
        <is>
          <t>Fecha por confirmar</t>
        </is>
      </c>
    </row>
    <row r="33">
      <c r="J33" s="14" t="inlineStr">
        <is>
          <t>Subtotal alado &amp; co.</t>
        </is>
      </c>
      <c r="K33" s="15">
        <f>SUM(K23:K32)</f>
        <v/>
      </c>
    </row>
    <row r="35">
      <c r="A35" s="8" t="inlineStr">
        <is>
          <t>OPCIONALES DEL TALLER DE CERÁMICA · cantidad 0, cambia a 1 si se cobran aparte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10" t="n">
        <v>17</v>
      </c>
      <c r="B36" s="10" t="inlineStr">
        <is>
          <t>Alado &amp; Co.</t>
        </is>
      </c>
      <c r="C36" s="10" t="inlineStr">
        <is>
          <t>Taller de pintura cerámica</t>
        </is>
      </c>
      <c r="D36" s="10" t="inlineStr">
        <is>
          <t>Post de confirmación de cupo</t>
        </is>
      </c>
      <c r="E36" s="10" t="inlineStr">
        <is>
          <t>Pieza gráfica</t>
        </is>
      </c>
      <c r="F36" s="10" t="n"/>
      <c r="G36" s="13" t="n">
        <v>46308</v>
      </c>
      <c r="H36" s="10">
        <f>IF(ISNUMBER(G36),CHOOSE(MONTH(G36),"Ene","Feb","Mar","Abr","May","Jun","Jul","Ago","Sep","Oct","Nov","Dic"),IF(G36="Lo antes posible","Oct","Por definir"))</f>
        <v/>
      </c>
      <c r="I36" s="16" t="n">
        <v>0</v>
      </c>
      <c r="J36" s="11">
        <f>IF(VLOOKUP(E36,$B$5:$C$10,2,FALSE)="","",VLOOKUP(E36,$B$5:$C$10,2,FALSE))</f>
        <v/>
      </c>
      <c r="K36" s="11">
        <f>IF(J36="","",I36*J36)</f>
        <v/>
      </c>
      <c r="L36" s="12" t="inlineStr">
        <is>
          <t>¿Dentro de gestión o aparte?</t>
        </is>
      </c>
    </row>
    <row r="37">
      <c r="A37" s="10" t="n">
        <v>18</v>
      </c>
      <c r="B37" s="10" t="inlineStr">
        <is>
          <t>Alado &amp; Co.</t>
        </is>
      </c>
      <c r="C37" s="10" t="inlineStr">
        <is>
          <t>Taller de pintura cerámica</t>
        </is>
      </c>
      <c r="D37" s="10" t="inlineStr">
        <is>
          <t>Términos y condiciones (PDF)</t>
        </is>
      </c>
      <c r="E37" s="10" t="inlineStr">
        <is>
          <t>Pieza gráfica</t>
        </is>
      </c>
      <c r="F37" s="10" t="n"/>
      <c r="G37" s="10" t="n"/>
      <c r="H37" s="10">
        <f>IF(ISNUMBER(G37),CHOOSE(MONTH(G37),"Ene","Feb","Mar","Abr","May","Jun","Jul","Ago","Sep","Oct","Nov","Dic"),IF(G37="Lo antes posible","Oct","Por definir"))</f>
        <v/>
      </c>
      <c r="I37" s="16" t="n">
        <v>0</v>
      </c>
      <c r="J37" s="11">
        <f>IF(VLOOKUP(E37,$B$5:$C$10,2,FALSE)="","",VLOOKUP(E37,$B$5:$C$10,2,FALSE))</f>
        <v/>
      </c>
      <c r="K37" s="11">
        <f>IF(J37="","",I37*J37)</f>
        <v/>
      </c>
      <c r="L37" s="12" t="inlineStr">
        <is>
          <t>¿Dentro de gestión o aparte?</t>
        </is>
      </c>
    </row>
    <row r="38">
      <c r="A38" s="10" t="n">
        <v>19</v>
      </c>
      <c r="B38" s="10" t="inlineStr">
        <is>
          <t>Alado &amp; Co.</t>
        </is>
      </c>
      <c r="C38" s="10" t="inlineStr">
        <is>
          <t>Taller de pintura cerámica</t>
        </is>
      </c>
      <c r="D38" s="10" t="inlineStr">
        <is>
          <t>Carrusel «Cómo participar» (si se publica)</t>
        </is>
      </c>
      <c r="E38" s="10" t="inlineStr">
        <is>
          <t>Carrusel</t>
        </is>
      </c>
      <c r="F38" s="10" t="n"/>
      <c r="G38" s="10" t="n"/>
      <c r="H38" s="10">
        <f>IF(ISNUMBER(G38),CHOOSE(MONTH(G38),"Ene","Feb","Mar","Abr","May","Jun","Jul","Ago","Sep","Oct","Nov","Dic"),IF(G38="Lo antes posible","Oct","Por definir"))</f>
        <v/>
      </c>
      <c r="I38" s="16" t="n">
        <v>0</v>
      </c>
      <c r="J38" s="11">
        <f>IF(VLOOKUP(E38,$B$5:$C$10,2,FALSE)="","",VLOOKUP(E38,$B$5:$C$10,2,FALSE))</f>
        <v/>
      </c>
      <c r="K38" s="11">
        <f>IF(J38="","",I38*J38)</f>
        <v/>
      </c>
      <c r="L38" s="12" t="inlineStr">
        <is>
          <t>Hay texto; falta diseño</t>
        </is>
      </c>
    </row>
    <row r="39">
      <c r="J39" s="14" t="inlineStr">
        <is>
          <t>Subtotal opcionales del taller de cerámica</t>
        </is>
      </c>
      <c r="K39" s="15">
        <f>SUM(K36:K38)</f>
        <v/>
      </c>
    </row>
    <row r="41">
      <c r="A41" s="3" t="inlineStr">
        <is>
          <t>RESUMEN</t>
        </is>
      </c>
    </row>
    <row r="42">
      <c r="D42" t="inlineStr">
        <is>
          <t>Alado Bride</t>
        </is>
      </c>
      <c r="K42" s="17">
        <f>K20</f>
        <v/>
      </c>
    </row>
    <row r="43">
      <c r="D43" t="inlineStr">
        <is>
          <t>Alado &amp; Co.</t>
        </is>
      </c>
      <c r="K43" s="17">
        <f>K33</f>
        <v/>
      </c>
    </row>
    <row r="44">
      <c r="D44" t="inlineStr">
        <is>
          <t>Opcionales</t>
        </is>
      </c>
      <c r="K44" s="17">
        <f>K39</f>
        <v/>
      </c>
    </row>
    <row r="45">
      <c r="A45" s="18" t="n"/>
      <c r="B45" s="18" t="n"/>
      <c r="C45" s="18" t="n"/>
      <c r="D45" s="19" t="inlineStr">
        <is>
          <t>TOTAL</t>
        </is>
      </c>
      <c r="E45" s="18" t="n"/>
      <c r="F45" s="18" t="n"/>
      <c r="G45" s="18" t="n"/>
      <c r="H45" s="18" t="n"/>
      <c r="I45" s="18" t="n"/>
      <c r="J45" s="18" t="n"/>
      <c r="K45" s="20">
        <f>SUM(K42:K44)</f>
        <v/>
      </c>
      <c r="L45" s="18" t="n"/>
    </row>
    <row r="46">
      <c r="D46" s="21" t="inlineStr">
        <is>
          <t>La gestión del taller y la campaña de fotos todavía no tienen tarifa: el total sube cuando las definas.</t>
        </is>
      </c>
    </row>
    <row r="48">
      <c r="A48" s="3" t="inlineStr">
        <is>
          <t>POR MES (según fecha de publicación)</t>
        </is>
      </c>
    </row>
    <row r="49">
      <c r="D49" t="inlineStr">
        <is>
          <t>Oct</t>
        </is>
      </c>
      <c r="K49" s="17">
        <f>SUMIF(H13:H38,"Oct",K13:K38)</f>
        <v/>
      </c>
    </row>
    <row r="50">
      <c r="D50" t="inlineStr">
        <is>
          <t>Nov</t>
        </is>
      </c>
      <c r="K50" s="17">
        <f>SUMIF(H13:H38,"Nov",K13:K38)</f>
        <v/>
      </c>
    </row>
    <row r="51">
      <c r="D51" t="inlineStr">
        <is>
          <t>Dic</t>
        </is>
      </c>
      <c r="K51" s="17">
        <f>SUMIF(H13:H38,"Dic",K13:K38)</f>
        <v/>
      </c>
    </row>
    <row r="52">
      <c r="D52" t="inlineStr">
        <is>
          <t>Ene</t>
        </is>
      </c>
      <c r="K52" s="17">
        <f>SUMIF(H13:H38,"Ene",K13:K38)</f>
        <v/>
      </c>
    </row>
    <row r="53">
      <c r="D53" t="inlineStr">
        <is>
          <t>Por definir</t>
        </is>
      </c>
      <c r="K53" s="17">
        <f>SUMIF(H13:H38,"Por definir",K13:K38)</f>
        <v/>
      </c>
    </row>
    <row r="54">
      <c r="D54" s="6" t="inlineStr">
        <is>
          <t>Total por mes (debe ser igual al TOTAL)</t>
        </is>
      </c>
      <c r="K54" s="17">
        <f>SUM(K49:K53)</f>
        <v/>
      </c>
    </row>
    <row r="56">
      <c r="A56" s="3" t="inlineStr">
        <is>
          <t>CONDICIONES</t>
        </is>
      </c>
    </row>
    <row r="57">
      <c r="B57" t="inlineStr">
        <is>
          <t>· 50% al aprobar y 50% contra entrega, por mes.</t>
        </is>
      </c>
    </row>
    <row r="58">
      <c r="B58" t="inlineStr">
        <is>
          <t>· Hasta dos rondas de ajustes por pieza.</t>
        </is>
      </c>
    </row>
    <row r="59">
      <c r="B59" t="inlineStr">
        <is>
          <t>· Piezas extra a la tarifa vigente.</t>
        </is>
      </c>
    </row>
    <row r="60">
      <c r="B60" t="inlineStr">
        <is>
          <t>· Gastos reembolsables aparte, previa aprobación (transporte, equipo, música con licencia).</t>
        </is>
      </c>
    </row>
    <row r="61">
      <c r="B61" t="inlineStr">
        <is>
          <t>· Los derechos del contenido son de Alado; Sara puede mostrarlo en su portafolio.</t>
        </is>
      </c>
    </row>
    <row r="63">
      <c r="A63" s="22" t="inlineStr">
        <is>
          <t>DATOS QUE FALTAN</t>
        </is>
      </c>
    </row>
    <row r="64">
      <c r="B64" t="inlineStr">
        <is>
          <t>· Tarifa de gestión y organización del taller de cerámica.</t>
        </is>
      </c>
    </row>
    <row r="65">
      <c r="B65" t="inlineStr">
        <is>
          <t>· Tarifa de la campaña de fotos de textil hogar (y cuántas fotos editadas se entregan).</t>
        </is>
      </c>
    </row>
    <row r="66">
      <c r="B66" t="inlineStr">
        <is>
          <t>· Tarifa de pieza gráfica suelta (hoy igual al set de historias).</t>
        </is>
      </c>
    </row>
    <row r="67">
      <c r="B67" t="inlineStr">
        <is>
          <t>· Fechas: Alejo como artista, la atención en el taller, 7 claves del vestido, 7 claves del traje, video de los Pérez.</t>
        </is>
      </c>
    </row>
    <row r="68">
      <c r="B68" t="inlineStr">
        <is>
          <t>· ¿Los opcionales del taller de cerámica van dentro de gestión o aparte?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2026-10-14T17:47:39Z</dcterms:created>
  <dcterms:modified xmlns:dcterms="http://purl.org/dc/terms/" xmlns:xsi="http://www.w3.org/2001/XMLSchema-instance" xsi:type="dcterms:W3CDTF">2026-10-14T17:47:39Z</dcterms:modified>
</cp:coreProperties>
</file>