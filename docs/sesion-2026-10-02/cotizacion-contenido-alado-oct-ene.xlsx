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DD/MM/YYYY"/>
  </numFmts>
  <fonts count="12">
    <font>
      <name val="Calibri"/>
      <family val="2"/>
      <color theme="1"/>
      <sz val="11"/>
      <scheme val="minor"/>
    </font>
    <font>
      <b val="1"/>
      <color rgb="002E3A46"/>
      <sz val="16"/>
    </font>
    <font>
      <color rgb="005A6672"/>
      <sz val="10"/>
    </font>
    <font>
      <b val="1"/>
      <color rgb="005C7891"/>
    </font>
    <font>
      <b val="1"/>
      <color rgb="002E3A46"/>
    </font>
    <font>
      <b val="1"/>
      <color rgb="001F4E99"/>
    </font>
    <font>
      <i val="1"/>
      <color rgb="005A6672"/>
    </font>
    <font>
      <b val="1"/>
      <color rgb="00FFFFFF"/>
    </font>
    <font>
      <b val="1"/>
    </font>
    <font>
      <b val="1"/>
      <sz val="13"/>
    </font>
    <font>
      <i val="1"/>
      <color rgb="009C5700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5C7891"/>
      </patternFill>
    </fill>
    <fill>
      <patternFill patternType="solid">
        <fgColor rgb="00E6EAEE"/>
      </patternFill>
    </fill>
    <fill>
      <patternFill patternType="solid">
        <fgColor rgb="00F3F1EA"/>
      </patternFill>
    </fill>
  </fills>
  <borders count="2">
    <border>
      <left/>
      <right/>
      <top/>
      <bottom/>
      <diagonal/>
    </border>
    <border>
      <bottom style="thin">
        <color rgb="00C9D2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vertical="center"/>
    </xf>
    <xf numFmtId="0" fontId="4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0" fontId="5" fillId="2" borderId="1" pivotButton="0" quotePrefix="0" xfId="0"/>
    <xf numFmtId="0" fontId="8" fillId="0" borderId="0" pivotButton="0" quotePrefix="0" xfId="0"/>
    <xf numFmtId="164" fontId="8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9" fillId="5" borderId="0" pivotButton="0" quotePrefix="0" xfId="0"/>
    <xf numFmtId="164" fontId="9" fillId="5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46" customWidth="1" min="4" max="4"/>
    <col width="18" customWidth="1" min="5" max="5"/>
    <col width="12" customWidth="1" min="6" max="6"/>
    <col width="16" customWidth="1" min="7" max="7"/>
    <col width="11" customWidth="1" min="8" max="8"/>
    <col width="7" customWidth="1" min="9" max="9"/>
    <col width="13" customWidth="1" min="10" max="10"/>
    <col width="14" customWidth="1" min="11" max="11"/>
    <col width="38" customWidth="1" min="12" max="12"/>
  </cols>
  <sheetData>
    <row r="1">
      <c r="A1" s="1" t="inlineStr">
        <is>
          <t>Cotización de contenido · Alado</t>
        </is>
      </c>
    </row>
    <row r="2">
      <c r="A2" s="2" t="inlineStr">
        <is>
          <t>Alado Bride y Alado &amp; Co. · octubre 2026 – enero 2027 · Preparada por Sara · 14 de octubre de 2026</t>
        </is>
      </c>
    </row>
    <row r="4">
      <c r="A4" s="3" t="inlineStr">
        <is>
          <t>TARIFAS · edita las celdas amarillas</t>
        </is>
      </c>
    </row>
    <row r="5">
      <c r="B5" s="4" t="inlineStr">
        <is>
          <t>Video</t>
        </is>
      </c>
      <c r="C5" s="5" t="n">
        <v>200000</v>
      </c>
      <c r="D5" s="6" t="inlineStr">
        <is>
          <t>Grabado y editado</t>
        </is>
      </c>
    </row>
    <row r="6">
      <c r="B6" s="4" t="inlineStr">
        <is>
          <t>Carrusel</t>
        </is>
      </c>
      <c r="C6" s="5" t="n">
        <v>170000</v>
      </c>
      <c r="D6" s="6" t="inlineStr"/>
    </row>
    <row r="7">
      <c r="B7" s="4" t="inlineStr">
        <is>
          <t>Historias</t>
        </is>
      </c>
      <c r="C7" s="5" t="n">
        <v>120000</v>
      </c>
      <c r="D7" s="6" t="inlineStr">
        <is>
          <t>Set de historias</t>
        </is>
      </c>
    </row>
    <row r="8">
      <c r="B8" s="4" t="inlineStr">
        <is>
          <t>Pieza gráfica</t>
        </is>
      </c>
      <c r="C8" s="5" t="n">
        <v>120000</v>
      </c>
      <c r="D8" s="6" t="inlineStr">
        <is>
          <t>Por confirmar: hoy igual al set de historias</t>
        </is>
      </c>
    </row>
    <row r="9">
      <c r="B9" s="4" t="inlineStr">
        <is>
          <t>Gestión de taller</t>
        </is>
      </c>
      <c r="C9" s="5" t="n"/>
      <c r="D9" s="6" t="inlineStr">
        <is>
          <t>Por definir</t>
        </is>
      </c>
    </row>
    <row r="10">
      <c r="B10" s="4" t="inlineStr">
        <is>
          <t>Campaña de fotos</t>
        </is>
      </c>
      <c r="C10" s="5" t="n"/>
      <c r="D10" s="6" t="inlineStr">
        <is>
          <t>Por definir</t>
        </is>
      </c>
    </row>
    <row r="12">
      <c r="A12" s="7" t="inlineStr">
        <is>
          <t>#</t>
        </is>
      </c>
      <c r="B12" s="7" t="inlineStr">
        <is>
          <t>Línea</t>
        </is>
      </c>
      <c r="C12" s="7" t="inlineStr">
        <is>
          <t>Proyecto</t>
        </is>
      </c>
      <c r="D12" s="7" t="inlineStr">
        <is>
          <t>Pieza</t>
        </is>
      </c>
      <c r="E12" s="7" t="inlineStr">
        <is>
          <t>Formato</t>
        </is>
      </c>
      <c r="F12" s="7" t="inlineStr">
        <is>
          <t>Graba</t>
        </is>
      </c>
      <c r="G12" s="7" t="inlineStr">
        <is>
          <t>Publica</t>
        </is>
      </c>
      <c r="H12" s="7" t="inlineStr">
        <is>
          <t>Mes</t>
        </is>
      </c>
      <c r="I12" s="7" t="inlineStr">
        <is>
          <t>Cant.</t>
        </is>
      </c>
      <c r="J12" s="7" t="inlineStr">
        <is>
          <t>Tarifa</t>
        </is>
      </c>
      <c r="K12" s="7" t="inlineStr">
        <is>
          <t>Subtotal</t>
        </is>
      </c>
      <c r="L12" s="7" t="inlineStr">
        <is>
          <t>Nota</t>
        </is>
      </c>
    </row>
    <row r="13">
      <c r="A13" s="8" t="inlineStr">
        <is>
          <t>ALADO BRIDE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10" t="n">
        <v>1</v>
      </c>
      <c r="B14" s="10" t="inlineStr">
        <is>
          <t>Bride</t>
        </is>
      </c>
      <c r="C14" s="10" t="inlineStr">
        <is>
          <t>Alado Bride</t>
        </is>
      </c>
      <c r="D14" s="10" t="inlineStr">
        <is>
          <t>Destacado fijo «Bride»</t>
        </is>
      </c>
      <c r="E14" s="10" t="inlineStr">
        <is>
          <t>Historias</t>
        </is>
      </c>
      <c r="F14" s="10" t="n"/>
      <c r="G14" s="11" t="n">
        <v>46304</v>
      </c>
      <c r="H14" s="10">
        <f>IF(ISNUMBER(G14),CHOOSE(MONTH(G14),"Ene","Feb","Mar","Abr","May","Jun","Jul","Ago","Sep","Oct","Nov","Dic"),IF(G14="Lo antes posible","Oct","Por definir"))</f>
        <v/>
      </c>
      <c r="I14" s="10" t="n">
        <v>1</v>
      </c>
      <c r="J14" s="12">
        <f>IF(VLOOKUP(E14,$B$5:$C$10,2,FALSE)="","",VLOOKUP(E14,$B$5:$C$10,2,FALSE))</f>
        <v/>
      </c>
      <c r="K14" s="12">
        <f>IF(J14="","",I14*J14)</f>
        <v/>
      </c>
      <c r="L14" s="13" t="inlineStr">
        <is>
          <t>¿Ya salió?</t>
        </is>
      </c>
    </row>
    <row r="15">
      <c r="A15" s="10" t="n">
        <v>2</v>
      </c>
      <c r="B15" s="10" t="inlineStr">
        <is>
          <t>Bride</t>
        </is>
      </c>
      <c r="C15" s="10" t="inlineStr">
        <is>
          <t>Alado Bride</t>
        </is>
      </c>
      <c r="D15" s="10" t="inlineStr">
        <is>
          <t>El figurín en vivo</t>
        </is>
      </c>
      <c r="E15" s="10" t="inlineStr">
        <is>
          <t>Video</t>
        </is>
      </c>
      <c r="F15" s="10" t="n"/>
      <c r="G15" s="11" t="n">
        <v>46308</v>
      </c>
      <c r="H15" s="10">
        <f>IF(ISNUMBER(G15),CHOOSE(MONTH(G15),"Ene","Feb","Mar","Abr","May","Jun","Jul","Ago","Sep","Oct","Nov","Dic"),IF(G15="Lo antes posible","Oct","Por definir"))</f>
        <v/>
      </c>
      <c r="I15" s="10" t="n">
        <v>1</v>
      </c>
      <c r="J15" s="12">
        <f>IF(VLOOKUP(E15,$B$5:$C$10,2,FALSE)="","",VLOOKUP(E15,$B$5:$C$10,2,FALSE))</f>
        <v/>
      </c>
      <c r="K15" s="12">
        <f>IF(J15="","",I15*J15)</f>
        <v/>
      </c>
      <c r="L15" s="13" t="inlineStr">
        <is>
          <t>¿Ya salió?</t>
        </is>
      </c>
    </row>
    <row r="16">
      <c r="A16" s="10" t="n">
        <v>3</v>
      </c>
      <c r="B16" s="10" t="inlineStr">
        <is>
          <t>Bride</t>
        </is>
      </c>
      <c r="C16" s="10" t="inlineStr">
        <is>
          <t>Alado Bride</t>
        </is>
      </c>
      <c r="D16" s="10" t="inlineStr">
        <is>
          <t>Serie con Lilo: diseñar un vestido con ella</t>
        </is>
      </c>
      <c r="E16" s="10" t="inlineStr">
        <is>
          <t>Video</t>
        </is>
      </c>
      <c r="F16" s="11" t="n">
        <v>46301</v>
      </c>
      <c r="G16" s="11" t="n">
        <v>46310</v>
      </c>
      <c r="H16" s="10">
        <f>IF(ISNUMBER(G16),CHOOSE(MONTH(G16),"Ene","Feb","Mar","Abr","May","Jun","Jul","Ago","Sep","Oct","Nov","Dic"),IF(G16="Lo antes posible","Oct","Por definir"))</f>
        <v/>
      </c>
      <c r="I16" s="14" t="n">
        <v>3</v>
      </c>
      <c r="J16" s="12">
        <f>IF(VLOOKUP(E16,$B$5:$C$10,2,FALSE)="","",VLOOKUP(E16,$B$5:$C$10,2,FALSE))</f>
        <v/>
      </c>
      <c r="K16" s="12">
        <f>IF(J16="","",I16*J16)</f>
        <v/>
      </c>
      <c r="L16" s="13" t="inlineStr">
        <is>
          <t>Partes por confirmar; una cada jueves</t>
        </is>
      </c>
    </row>
    <row r="17">
      <c r="A17" s="10" t="n">
        <v>4</v>
      </c>
      <c r="B17" s="10" t="inlineStr">
        <is>
          <t>Bride</t>
        </is>
      </c>
      <c r="C17" s="10" t="inlineStr">
        <is>
          <t>Alado Bride</t>
        </is>
      </c>
      <c r="D17" s="10" t="inlineStr">
        <is>
          <t>Único vs. alquilado</t>
        </is>
      </c>
      <c r="E17" s="10" t="inlineStr">
        <is>
          <t>Carrusel</t>
        </is>
      </c>
      <c r="F17" s="10" t="n"/>
      <c r="G17" s="11" t="n">
        <v>46317</v>
      </c>
      <c r="H17" s="10">
        <f>IF(ISNUMBER(G17),CHOOSE(MONTH(G17),"Ene","Feb","Mar","Abr","May","Jun","Jul","Ago","Sep","Oct","Nov","Dic"),IF(G17="Lo antes posible","Oct","Por definir"))</f>
        <v/>
      </c>
      <c r="I17" s="10" t="n">
        <v>1</v>
      </c>
      <c r="J17" s="12">
        <f>IF(VLOOKUP(E17,$B$5:$C$10,2,FALSE)="","",VLOOKUP(E17,$B$5:$C$10,2,FALSE))</f>
        <v/>
      </c>
      <c r="K17" s="12">
        <f>IF(J17="","",I17*J17)</f>
        <v/>
      </c>
      <c r="L17" s="13" t="inlineStr"/>
    </row>
    <row r="18">
      <c r="A18" s="10" t="n">
        <v>5</v>
      </c>
      <c r="B18" s="10" t="inlineStr">
        <is>
          <t>Bride</t>
        </is>
      </c>
      <c r="C18" s="10" t="inlineStr">
        <is>
          <t>Celebration</t>
        </is>
      </c>
      <c r="D18" s="10" t="inlineStr">
        <is>
          <t>Historias de prom y 15 (material de Lola)</t>
        </is>
      </c>
      <c r="E18" s="10" t="inlineStr">
        <is>
          <t>Historias</t>
        </is>
      </c>
      <c r="F18" s="10" t="n"/>
      <c r="G18" s="10" t="inlineStr">
        <is>
          <t>Lo antes posible</t>
        </is>
      </c>
      <c r="H18" s="10">
        <f>IF(ISNUMBER(G18),CHOOSE(MONTH(G18),"Ene","Feb","Mar","Abr","May","Jun","Jul","Ago","Sep","Oct","Nov","Dic"),IF(G18="Lo antes posible","Oct","Por definir"))</f>
        <v/>
      </c>
      <c r="I18" s="10" t="n">
        <v>1</v>
      </c>
      <c r="J18" s="12">
        <f>IF(VLOOKUP(E18,$B$5:$C$10,2,FALSE)="","",VLOOKUP(E18,$B$5:$C$10,2,FALSE))</f>
        <v/>
      </c>
      <c r="K18" s="12">
        <f>IF(J18="","",I18*J18)</f>
        <v/>
      </c>
      <c r="L18" s="13" t="inlineStr">
        <is>
          <t>Lo antes posible; permiso de los padres</t>
        </is>
      </c>
    </row>
    <row r="19">
      <c r="A19" s="10" t="n">
        <v>6</v>
      </c>
      <c r="B19" s="10" t="inlineStr">
        <is>
          <t>Bride</t>
        </is>
      </c>
      <c r="C19" s="10" t="inlineStr">
        <is>
          <t>Alado Bride</t>
        </is>
      </c>
      <c r="D19" s="10" t="inlineStr">
        <is>
          <t>Del primer lápiz a la entrega</t>
        </is>
      </c>
      <c r="E19" s="10" t="inlineStr">
        <is>
          <t>Carrusel</t>
        </is>
      </c>
      <c r="F19" s="10" t="n"/>
      <c r="G19" s="11" t="n">
        <v>46338</v>
      </c>
      <c r="H19" s="10">
        <f>IF(ISNUMBER(G19),CHOOSE(MONTH(G19),"Ene","Feb","Mar","Abr","May","Jun","Jul","Ago","Sep","Oct","Nov","Dic"),IF(G19="Lo antes posible","Oct","Por definir"))</f>
        <v/>
      </c>
      <c r="I19" s="10" t="n">
        <v>1</v>
      </c>
      <c r="J19" s="12">
        <f>IF(VLOOKUP(E19,$B$5:$C$10,2,FALSE)="","",VLOOKUP(E19,$B$5:$C$10,2,FALSE))</f>
        <v/>
      </c>
      <c r="K19" s="12">
        <f>IF(J19="","",I19*J19)</f>
        <v/>
      </c>
      <c r="L19" s="13" t="inlineStr">
        <is>
          <t>Alejo confirma tiempos</t>
        </is>
      </c>
    </row>
    <row r="20">
      <c r="A20" s="10" t="n">
        <v>7</v>
      </c>
      <c r="B20" s="10" t="inlineStr">
        <is>
          <t>Bride</t>
        </is>
      </c>
      <c r="C20" s="10" t="inlineStr">
        <is>
          <t>Celebration</t>
        </is>
      </c>
      <c r="D20" s="10" t="inlineStr">
        <is>
          <t>Prom y 15: tu vestido, único</t>
        </is>
      </c>
      <c r="E20" s="10" t="inlineStr">
        <is>
          <t>Carrusel</t>
        </is>
      </c>
      <c r="F20" s="10" t="n"/>
      <c r="G20" s="11" t="n">
        <v>46345</v>
      </c>
      <c r="H20" s="10">
        <f>IF(ISNUMBER(G20),CHOOSE(MONTH(G20),"Ene","Feb","Mar","Abr","May","Jun","Jul","Ago","Sep","Oct","Nov","Dic"),IF(G20="Lo antes posible","Oct","Por definir"))</f>
        <v/>
      </c>
      <c r="I20" s="10" t="n">
        <v>1</v>
      </c>
      <c r="J20" s="12">
        <f>IF(VLOOKUP(E20,$B$5:$C$10,2,FALSE)="","",VLOOKUP(E20,$B$5:$C$10,2,FALSE))</f>
        <v/>
      </c>
      <c r="K20" s="12">
        <f>IF(J20="","",I20*J20)</f>
        <v/>
      </c>
      <c r="L20" s="13" t="inlineStr"/>
    </row>
    <row r="21">
      <c r="A21" s="10" t="n">
        <v>8</v>
      </c>
      <c r="B21" s="10" t="inlineStr">
        <is>
          <t>Bride</t>
        </is>
      </c>
      <c r="C21" s="10" t="inlineStr">
        <is>
          <t>Alado Bride</t>
        </is>
      </c>
      <c r="D21" s="10" t="inlineStr">
        <is>
          <t>Caja de preguntas con Alejo</t>
        </is>
      </c>
      <c r="E21" s="10" t="inlineStr">
        <is>
          <t>Historias</t>
        </is>
      </c>
      <c r="F21" s="10" t="n"/>
      <c r="G21" s="11" t="n">
        <v>46349</v>
      </c>
      <c r="H21" s="10">
        <f>IF(ISNUMBER(G21),CHOOSE(MONTH(G21),"Ene","Feb","Mar","Abr","May","Jun","Jul","Ago","Sep","Oct","Nov","Dic"),IF(G21="Lo antes posible","Oct","Por definir"))</f>
        <v/>
      </c>
      <c r="I21" s="10" t="n">
        <v>1</v>
      </c>
      <c r="J21" s="12">
        <f>IF(VLOOKUP(E21,$B$5:$C$10,2,FALSE)="","",VLOOKUP(E21,$B$5:$C$10,2,FALSE))</f>
        <v/>
      </c>
      <c r="K21" s="12">
        <f>IF(J21="","",I21*J21)</f>
        <v/>
      </c>
      <c r="L21" s="13" t="inlineStr"/>
    </row>
    <row r="22">
      <c r="A22" s="10" t="n">
        <v>9</v>
      </c>
      <c r="B22" s="10" t="inlineStr">
        <is>
          <t>Bride</t>
        </is>
      </c>
      <c r="C22" s="10" t="inlineStr">
        <is>
          <t>Alado Bride</t>
        </is>
      </c>
      <c r="D22" s="10" t="inlineStr">
        <is>
          <t>Notas de Alejo (manuscritas)</t>
        </is>
      </c>
      <c r="E22" s="10" t="inlineStr">
        <is>
          <t>Video</t>
        </is>
      </c>
      <c r="F22" s="10" t="n"/>
      <c r="G22" s="11" t="n">
        <v>46350</v>
      </c>
      <c r="H22" s="10">
        <f>IF(ISNUMBER(G22),CHOOSE(MONTH(G22),"Ene","Feb","Mar","Abr","May","Jun","Jul","Ago","Sep","Oct","Nov","Dic"),IF(G22="Lo antes posible","Oct","Por definir"))</f>
        <v/>
      </c>
      <c r="I22" s="10" t="n">
        <v>1</v>
      </c>
      <c r="J22" s="12">
        <f>IF(VLOOKUP(E22,$B$5:$C$10,2,FALSE)="","",VLOOKUP(E22,$B$5:$C$10,2,FALSE))</f>
        <v/>
      </c>
      <c r="K22" s="12">
        <f>IF(J22="","",I22*J22)</f>
        <v/>
      </c>
      <c r="L22" s="13" t="inlineStr"/>
    </row>
    <row r="23">
      <c r="A23" s="10" t="n">
        <v>10</v>
      </c>
      <c r="B23" s="10" t="inlineStr">
        <is>
          <t>Bride</t>
        </is>
      </c>
      <c r="C23" s="10" t="inlineStr">
        <is>
          <t>Alado Bride</t>
        </is>
      </c>
      <c r="D23" s="10" t="inlineStr">
        <is>
          <t>Agenda abierta hasta el 11 de diciembre</t>
        </is>
      </c>
      <c r="E23" s="10" t="inlineStr">
        <is>
          <t>Historias</t>
        </is>
      </c>
      <c r="F23" s="10" t="n"/>
      <c r="G23" s="11" t="n">
        <v>46356</v>
      </c>
      <c r="H23" s="10">
        <f>IF(ISNUMBER(G23),CHOOSE(MONTH(G23),"Ene","Feb","Mar","Abr","May","Jun","Jul","Ago","Sep","Oct","Nov","Dic"),IF(G23="Lo antes posible","Oct","Por definir"))</f>
        <v/>
      </c>
      <c r="I23" s="10" t="n">
        <v>1</v>
      </c>
      <c r="J23" s="12">
        <f>IF(VLOOKUP(E23,$B$5:$C$10,2,FALSE)="","",VLOOKUP(E23,$B$5:$C$10,2,FALSE))</f>
        <v/>
      </c>
      <c r="K23" s="12">
        <f>IF(J23="","",I23*J23)</f>
        <v/>
      </c>
      <c r="L23" s="13" t="inlineStr"/>
    </row>
    <row r="24">
      <c r="A24" s="10" t="n">
        <v>11</v>
      </c>
      <c r="B24" s="10" t="inlineStr">
        <is>
          <t>Bride</t>
        </is>
      </c>
      <c r="C24" s="10" t="inlineStr">
        <is>
          <t>Alado Bride</t>
        </is>
      </c>
      <c r="D24" s="10" t="inlineStr">
        <is>
          <t>El servicio, con las niñas del taller y Lola</t>
        </is>
      </c>
      <c r="E24" s="10" t="inlineStr">
        <is>
          <t>Video</t>
        </is>
      </c>
      <c r="F24" s="10" t="n"/>
      <c r="G24" s="10" t="n"/>
      <c r="H24" s="10">
        <f>IF(ISNUMBER(G24),CHOOSE(MONTH(G24),"Ene","Feb","Mar","Abr","May","Jun","Jul","Ago","Sep","Oct","Nov","Dic"),IF(G24="Lo antes posible","Oct","Por definir"))</f>
        <v/>
      </c>
      <c r="I24" s="10" t="n">
        <v>1</v>
      </c>
      <c r="J24" s="12">
        <f>IF(VLOOKUP(E24,$B$5:$C$10,2,FALSE)="","",VLOOKUP(E24,$B$5:$C$10,2,FALSE))</f>
        <v/>
      </c>
      <c r="K24" s="12">
        <f>IF(J24="","",I24*J24)</f>
        <v/>
      </c>
      <c r="L24" s="13" t="inlineStr">
        <is>
          <t>Fecha con Andrés</t>
        </is>
      </c>
    </row>
    <row r="25">
      <c r="A25" s="10" t="n">
        <v>12</v>
      </c>
      <c r="B25" s="10" t="inlineStr">
        <is>
          <t>Bride</t>
        </is>
      </c>
      <c r="C25" s="10" t="inlineStr">
        <is>
          <t>Alado Bride</t>
        </is>
      </c>
      <c r="D25" s="10" t="inlineStr">
        <is>
          <t>Alejo como artista</t>
        </is>
      </c>
      <c r="E25" s="10" t="inlineStr">
        <is>
          <t>Video</t>
        </is>
      </c>
      <c r="F25" s="10" t="n"/>
      <c r="G25" s="10" t="n"/>
      <c r="H25" s="10">
        <f>IF(ISNUMBER(G25),CHOOSE(MONTH(G25),"Ene","Feb","Mar","Abr","May","Jun","Jul","Ago","Sep","Oct","Nov","Dic"),IF(G25="Lo antes posible","Oct","Por definir"))</f>
        <v/>
      </c>
      <c r="I25" s="10" t="n">
        <v>1</v>
      </c>
      <c r="J25" s="12">
        <f>IF(VLOOKUP(E25,$B$5:$C$10,2,FALSE)="","",VLOOKUP(E25,$B$5:$C$10,2,FALSE))</f>
        <v/>
      </c>
      <c r="K25" s="12">
        <f>IF(J25="","",I25*J25)</f>
        <v/>
      </c>
      <c r="L25" s="13" t="inlineStr">
        <is>
          <t>Fecha con Alejo</t>
        </is>
      </c>
    </row>
    <row r="26">
      <c r="A26" s="10" t="n">
        <v>13</v>
      </c>
      <c r="B26" s="10" t="inlineStr">
        <is>
          <t>Bride</t>
        </is>
      </c>
      <c r="C26" s="10" t="inlineStr">
        <is>
          <t>Alado Bride</t>
        </is>
      </c>
      <c r="D26" s="10" t="inlineStr">
        <is>
          <t>Alejo como experto: 7 claves (novia y trajes)</t>
        </is>
      </c>
      <c r="E26" s="10" t="inlineStr">
        <is>
          <t>Video</t>
        </is>
      </c>
      <c r="F26" s="10" t="n"/>
      <c r="G26" s="10" t="n"/>
      <c r="H26" s="10">
        <f>IF(ISNUMBER(G26),CHOOSE(MONTH(G26),"Ene","Feb","Mar","Abr","May","Jun","Jul","Ago","Sep","Oct","Nov","Dic"),IF(G26="Lo antes posible","Oct","Por definir"))</f>
        <v/>
      </c>
      <c r="I26" s="10" t="n">
        <v>1</v>
      </c>
      <c r="J26" s="12">
        <f>IF(VLOOKUP(E26,$B$5:$C$10,2,FALSE)="","",VLOOKUP(E26,$B$5:$C$10,2,FALSE))</f>
        <v/>
      </c>
      <c r="K26" s="12">
        <f>IF(J26="","",I26*J26)</f>
        <v/>
      </c>
      <c r="L26" s="13" t="inlineStr">
        <is>
          <t>Fecha con Alejo</t>
        </is>
      </c>
    </row>
    <row r="27">
      <c r="A27" s="10" t="n">
        <v>14</v>
      </c>
      <c r="B27" s="10" t="inlineStr">
        <is>
          <t>Bride</t>
        </is>
      </c>
      <c r="C27" s="10" t="inlineStr">
        <is>
          <t>Alado Bride</t>
        </is>
      </c>
      <c r="D27" s="10" t="inlineStr">
        <is>
          <t>Notas de Alejo: novias 2027</t>
        </is>
      </c>
      <c r="E27" s="10" t="inlineStr">
        <is>
          <t>Carrusel</t>
        </is>
      </c>
      <c r="F27" s="10" t="n"/>
      <c r="G27" s="11" t="n">
        <v>46392</v>
      </c>
      <c r="H27" s="10">
        <f>IF(ISNUMBER(G27),CHOOSE(MONTH(G27),"Ene","Feb","Mar","Abr","May","Jun","Jul","Ago","Sep","Oct","Nov","Dic"),IF(G27="Lo antes posible","Oct","Por definir"))</f>
        <v/>
      </c>
      <c r="I27" s="10" t="n">
        <v>1</v>
      </c>
      <c r="J27" s="12">
        <f>IF(VLOOKUP(E27,$B$5:$C$10,2,FALSE)="","",VLOOKUP(E27,$B$5:$C$10,2,FALSE))</f>
        <v/>
      </c>
      <c r="K27" s="12">
        <f>IF(J27="","",I27*J27)</f>
        <v/>
      </c>
      <c r="L27" s="13" t="inlineStr"/>
    </row>
    <row r="28">
      <c r="A28" s="10" t="n">
        <v>15</v>
      </c>
      <c r="B28" s="10" t="inlineStr">
        <is>
          <t>Bride</t>
        </is>
      </c>
      <c r="C28" s="10" t="inlineStr">
        <is>
          <t>Alado Bride</t>
        </is>
      </c>
      <c r="D28" s="10" t="inlineStr">
        <is>
          <t>Cómo agendar tu cita en enero</t>
        </is>
      </c>
      <c r="E28" s="10" t="inlineStr">
        <is>
          <t>Carrusel</t>
        </is>
      </c>
      <c r="F28" s="10" t="n"/>
      <c r="G28" s="11" t="n">
        <v>46396</v>
      </c>
      <c r="H28" s="10">
        <f>IF(ISNUMBER(G28),CHOOSE(MONTH(G28),"Ene","Feb","Mar","Abr","May","Jun","Jul","Ago","Sep","Oct","Nov","Dic"),IF(G28="Lo antes posible","Oct","Por definir"))</f>
        <v/>
      </c>
      <c r="I28" s="10" t="n">
        <v>1</v>
      </c>
      <c r="J28" s="12">
        <f>IF(VLOOKUP(E28,$B$5:$C$10,2,FALSE)="","",VLOOKUP(E28,$B$5:$C$10,2,FALSE))</f>
        <v/>
      </c>
      <c r="K28" s="12">
        <f>IF(J28="","",I28*J28)</f>
        <v/>
      </c>
      <c r="L28" s="13" t="inlineStr"/>
    </row>
    <row r="29">
      <c r="J29" s="15" t="inlineStr">
        <is>
          <t>Subtotal alado bride</t>
        </is>
      </c>
      <c r="K29" s="16">
        <f>SUM(K14:K28)</f>
        <v/>
      </c>
    </row>
    <row r="31">
      <c r="A31" s="8" t="inlineStr">
        <is>
          <t>ALADO &amp; CO.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10" t="n">
        <v>16</v>
      </c>
      <c r="B32" s="10" t="inlineStr">
        <is>
          <t>Alado &amp; Co.</t>
        </is>
      </c>
      <c r="C32" s="10" t="inlineStr">
        <is>
          <t>Taller de pintura cerámica</t>
        </is>
      </c>
      <c r="D32" s="10" t="inlineStr">
        <is>
          <t>Video promocional con Andrés</t>
        </is>
      </c>
      <c r="E32" s="10" t="inlineStr">
        <is>
          <t>Video</t>
        </is>
      </c>
      <c r="F32" s="11" t="n">
        <v>46301</v>
      </c>
      <c r="G32" s="11" t="n">
        <v>46303</v>
      </c>
      <c r="H32" s="10">
        <f>IF(ISNUMBER(G32),CHOOSE(MONTH(G32),"Ene","Feb","Mar","Abr","May","Jun","Jul","Ago","Sep","Oct","Nov","Dic"),IF(G32="Lo antes posible","Oct","Por definir"))</f>
        <v/>
      </c>
      <c r="I32" s="10" t="n">
        <v>1</v>
      </c>
      <c r="J32" s="12">
        <f>IF(VLOOKUP(E32,$B$5:$C$10,2,FALSE)="","",VLOOKUP(E32,$B$5:$C$10,2,FALSE))</f>
        <v/>
      </c>
      <c r="K32" s="12">
        <f>IF(J32="","",I32*J32)</f>
        <v/>
      </c>
      <c r="L32" s="13" t="inlineStr"/>
    </row>
    <row r="33">
      <c r="A33" s="10" t="n">
        <v>17</v>
      </c>
      <c r="B33" s="10" t="inlineStr">
        <is>
          <t>Alado &amp; Co.</t>
        </is>
      </c>
      <c r="C33" s="10" t="inlineStr">
        <is>
          <t>Taller de pintura cerámica</t>
        </is>
      </c>
      <c r="D33" s="10" t="inlineStr">
        <is>
          <t>Invitación</t>
        </is>
      </c>
      <c r="E33" s="10" t="inlineStr">
        <is>
          <t>Pieza gráfica</t>
        </is>
      </c>
      <c r="F33" s="10" t="n"/>
      <c r="G33" s="11" t="n">
        <v>46302</v>
      </c>
      <c r="H33" s="10">
        <f>IF(ISNUMBER(G33),CHOOSE(MONTH(G33),"Ene","Feb","Mar","Abr","May","Jun","Jul","Ago","Sep","Oct","Nov","Dic"),IF(G33="Lo antes posible","Oct","Por definir"))</f>
        <v/>
      </c>
      <c r="I33" s="10" t="n">
        <v>1</v>
      </c>
      <c r="J33" s="12">
        <f>IF(VLOOKUP(E33,$B$5:$C$10,2,FALSE)="","",VLOOKUP(E33,$B$5:$C$10,2,FALSE))</f>
        <v/>
      </c>
      <c r="K33" s="12">
        <f>IF(J33="","",I33*J33)</f>
        <v/>
      </c>
      <c r="L33" s="13" t="inlineStr"/>
    </row>
    <row r="34">
      <c r="A34" s="10" t="n">
        <v>18</v>
      </c>
      <c r="B34" s="10" t="inlineStr">
        <is>
          <t>Alado &amp; Co.</t>
        </is>
      </c>
      <c r="C34" s="10" t="inlineStr">
        <is>
          <t>Taller de pintura cerámica</t>
        </is>
      </c>
      <c r="D34" s="10" t="inlineStr">
        <is>
          <t>¿Qué incluye?</t>
        </is>
      </c>
      <c r="E34" s="10" t="inlineStr">
        <is>
          <t>Pieza gráfica</t>
        </is>
      </c>
      <c r="F34" s="10" t="n"/>
      <c r="G34" s="11" t="n">
        <v>46305</v>
      </c>
      <c r="H34" s="10">
        <f>IF(ISNUMBER(G34),CHOOSE(MONTH(G34),"Ene","Feb","Mar","Abr","May","Jun","Jul","Ago","Sep","Oct","Nov","Dic"),IF(G34="Lo antes posible","Oct","Por definir"))</f>
        <v/>
      </c>
      <c r="I34" s="10" t="n">
        <v>1</v>
      </c>
      <c r="J34" s="12">
        <f>IF(VLOOKUP(E34,$B$5:$C$10,2,FALSE)="","",VLOOKUP(E34,$B$5:$C$10,2,FALSE))</f>
        <v/>
      </c>
      <c r="K34" s="12">
        <f>IF(J34="","",I34*J34)</f>
        <v/>
      </c>
      <c r="L34" s="13" t="inlineStr"/>
    </row>
    <row r="35">
      <c r="A35" s="10" t="n">
        <v>19</v>
      </c>
      <c r="B35" s="10" t="inlineStr">
        <is>
          <t>Alado &amp; Co.</t>
        </is>
      </c>
      <c r="C35" s="10" t="inlineStr">
        <is>
          <t>Taller de pintura cerámica</t>
        </is>
      </c>
      <c r="D35" s="10" t="inlineStr">
        <is>
          <t>Gestión y organización del taller</t>
        </is>
      </c>
      <c r="E35" s="10" t="inlineStr">
        <is>
          <t>Gestión de taller</t>
        </is>
      </c>
      <c r="F35" s="10" t="n"/>
      <c r="G35" s="11" t="n">
        <v>46312</v>
      </c>
      <c r="H35" s="10">
        <f>IF(ISNUMBER(G35),CHOOSE(MONTH(G35),"Ene","Feb","Mar","Abr","May","Jun","Jul","Ago","Sep","Oct","Nov","Dic"),IF(G35="Lo antes posible","Oct","Por definir"))</f>
        <v/>
      </c>
      <c r="I35" s="10" t="n">
        <v>1</v>
      </c>
      <c r="J35" s="12">
        <f>IF(VLOOKUP(E35,$B$5:$C$10,2,FALSE)="","",VLOOKUP(E35,$B$5:$C$10,2,FALSE))</f>
        <v/>
      </c>
      <c r="K35" s="12">
        <f>IF(J35="","",I35*J35)</f>
        <v/>
      </c>
      <c r="L35" s="13" t="inlineStr">
        <is>
          <t>Hasta el día del taller</t>
        </is>
      </c>
    </row>
    <row r="36">
      <c r="A36" s="10" t="n">
        <v>20</v>
      </c>
      <c r="B36" s="10" t="inlineStr">
        <is>
          <t>Alado &amp; Co.</t>
        </is>
      </c>
      <c r="C36" s="10" t="inlineStr">
        <is>
          <t>Taller de pintura cerámica</t>
        </is>
      </c>
      <c r="D36" s="10" t="inlineStr">
        <is>
          <t>Video del taller</t>
        </is>
      </c>
      <c r="E36" s="10" t="inlineStr">
        <is>
          <t>Video</t>
        </is>
      </c>
      <c r="F36" s="11" t="n">
        <v>46312</v>
      </c>
      <c r="G36" s="11" t="n">
        <v>46314</v>
      </c>
      <c r="H36" s="10">
        <f>IF(ISNUMBER(G36),CHOOSE(MONTH(G36),"Ene","Feb","Mar","Abr","May","Jun","Jul","Ago","Sep","Oct","Nov","Dic"),IF(G36="Lo antes posible","Oct","Por definir"))</f>
        <v/>
      </c>
      <c r="I36" s="10" t="n">
        <v>1</v>
      </c>
      <c r="J36" s="12">
        <f>IF(VLOOKUP(E36,$B$5:$C$10,2,FALSE)="","",VLOOKUP(E36,$B$5:$C$10,2,FALSE))</f>
        <v/>
      </c>
      <c r="K36" s="12">
        <f>IF(J36="","",I36*J36)</f>
        <v/>
      </c>
      <c r="L36" s="13" t="inlineStr">
        <is>
          <t>Sale 2 días después</t>
        </is>
      </c>
    </row>
    <row r="37">
      <c r="A37" s="10" t="n">
        <v>21</v>
      </c>
      <c r="B37" s="10" t="inlineStr">
        <is>
          <t>Alado &amp; Co.</t>
        </is>
      </c>
      <c r="C37" s="10" t="inlineStr">
        <is>
          <t>Grabación de Navidad</t>
        </is>
      </c>
      <c r="D37" s="10" t="inlineStr">
        <is>
          <t>Campaña de fotos de textil hogar</t>
        </is>
      </c>
      <c r="E37" s="10" t="inlineStr">
        <is>
          <t>Campaña de fotos</t>
        </is>
      </c>
      <c r="F37" s="11" t="n">
        <v>46317</v>
      </c>
      <c r="G37" s="11" t="n">
        <v>46322</v>
      </c>
      <c r="H37" s="10">
        <f>IF(ISNUMBER(G37),CHOOSE(MONTH(G37),"Ene","Feb","Mar","Abr","May","Jun","Jul","Ago","Sep","Oct","Nov","Dic"),IF(G37="Lo antes posible","Oct","Por definir"))</f>
        <v/>
      </c>
      <c r="I37" s="10" t="n">
        <v>1</v>
      </c>
      <c r="J37" s="12">
        <f>IF(VLOOKUP(E37,$B$5:$C$10,2,FALSE)="","",VLOOKUP(E37,$B$5:$C$10,2,FALSE))</f>
        <v/>
      </c>
      <c r="K37" s="12">
        <f>IF(J37="","",I37*J37)</f>
        <v/>
      </c>
      <c r="L37" s="13" t="inlineStr"/>
    </row>
    <row r="38">
      <c r="A38" s="10" t="n">
        <v>22</v>
      </c>
      <c r="B38" s="10" t="inlineStr">
        <is>
          <t>Alado &amp; Co.</t>
        </is>
      </c>
      <c r="C38" s="10" t="inlineStr">
        <is>
          <t>Grabación de Navidad</t>
        </is>
      </c>
      <c r="D38" s="10" t="inlineStr">
        <is>
          <t>Video de Navidad</t>
        </is>
      </c>
      <c r="E38" s="10" t="inlineStr">
        <is>
          <t>Video</t>
        </is>
      </c>
      <c r="F38" s="11" t="n">
        <v>46317</v>
      </c>
      <c r="G38" s="11" t="n">
        <v>46324</v>
      </c>
      <c r="H38" s="10">
        <f>IF(ISNUMBER(G38),CHOOSE(MONTH(G38),"Ene","Feb","Mar","Abr","May","Jun","Jul","Ago","Sep","Oct","Nov","Dic"),IF(G38="Lo antes posible","Oct","Por definir"))</f>
        <v/>
      </c>
      <c r="I38" s="10" t="n">
        <v>1</v>
      </c>
      <c r="J38" s="12">
        <f>IF(VLOOKUP(E38,$B$5:$C$10,2,FALSE)="","",VLOOKUP(E38,$B$5:$C$10,2,FALSE))</f>
        <v/>
      </c>
      <c r="K38" s="12">
        <f>IF(J38="","",I38*J38)</f>
        <v/>
      </c>
      <c r="L38" s="13" t="inlineStr"/>
    </row>
    <row r="39">
      <c r="A39" s="10" t="n">
        <v>23</v>
      </c>
      <c r="B39" s="10" t="inlineStr">
        <is>
          <t>Alado &amp; Co.</t>
        </is>
      </c>
      <c r="C39" s="10" t="inlineStr">
        <is>
          <t>Grabación de Navidad</t>
        </is>
      </c>
      <c r="D39" s="10" t="inlineStr">
        <is>
          <t>Video de textil hogar</t>
        </is>
      </c>
      <c r="E39" s="10" t="inlineStr">
        <is>
          <t>Video</t>
        </is>
      </c>
      <c r="F39" s="11" t="n">
        <v>46317</v>
      </c>
      <c r="G39" s="11" t="n">
        <v>46329</v>
      </c>
      <c r="H39" s="10">
        <f>IF(ISNUMBER(G39),CHOOSE(MONTH(G39),"Ene","Feb","Mar","Abr","May","Jun","Jul","Ago","Sep","Oct","Nov","Dic"),IF(G39="Lo antes posible","Oct","Por definir"))</f>
        <v/>
      </c>
      <c r="I39" s="10" t="n">
        <v>1</v>
      </c>
      <c r="J39" s="12">
        <f>IF(VLOOKUP(E39,$B$5:$C$10,2,FALSE)="","",VLOOKUP(E39,$B$5:$C$10,2,FALSE))</f>
        <v/>
      </c>
      <c r="K39" s="12">
        <f>IF(J39="","",I39*J39)</f>
        <v/>
      </c>
      <c r="L39" s="13" t="inlineStr"/>
    </row>
    <row r="40">
      <c r="A40" s="10" t="n">
        <v>24</v>
      </c>
      <c r="B40" s="10" t="inlineStr">
        <is>
          <t>Alado &amp; Co.</t>
        </is>
      </c>
      <c r="C40" s="10" t="inlineStr">
        <is>
          <t>Grabación de Navidad</t>
        </is>
      </c>
      <c r="D40" s="10" t="inlineStr">
        <is>
          <t>Video de la receta</t>
        </is>
      </c>
      <c r="E40" s="10" t="inlineStr">
        <is>
          <t>Video</t>
        </is>
      </c>
      <c r="F40" s="11" t="n">
        <v>46317</v>
      </c>
      <c r="G40" s="11" t="n">
        <v>46347</v>
      </c>
      <c r="H40" s="10">
        <f>IF(ISNUMBER(G40),CHOOSE(MONTH(G40),"Ene","Feb","Mar","Abr","May","Jun","Jul","Ago","Sep","Oct","Nov","Dic"),IF(G40="Lo antes posible","Oct","Por definir"))</f>
        <v/>
      </c>
      <c r="I40" s="10" t="n">
        <v>1</v>
      </c>
      <c r="J40" s="12">
        <f>IF(VLOOKUP(E40,$B$5:$C$10,2,FALSE)="","",VLOOKUP(E40,$B$5:$C$10,2,FALSE))</f>
        <v/>
      </c>
      <c r="K40" s="12">
        <f>IF(J40="","",I40*J40)</f>
        <v/>
      </c>
      <c r="L40" s="13" t="inlineStr"/>
    </row>
    <row r="41">
      <c r="A41" s="10" t="n">
        <v>25</v>
      </c>
      <c r="B41" s="10" t="inlineStr">
        <is>
          <t>Alado &amp; Co.</t>
        </is>
      </c>
      <c r="C41" s="10" t="inlineStr">
        <is>
          <t>La tienda</t>
        </is>
      </c>
      <c r="D41" s="10" t="inlineStr">
        <is>
          <t>Montando la tienda</t>
        </is>
      </c>
      <c r="E41" s="10" t="inlineStr">
        <is>
          <t>Video</t>
        </is>
      </c>
      <c r="F41" s="11" t="n">
        <v>46318</v>
      </c>
      <c r="G41" s="11" t="n">
        <v>46319</v>
      </c>
      <c r="H41" s="10">
        <f>IF(ISNUMBER(G41),CHOOSE(MONTH(G41),"Ene","Feb","Mar","Abr","May","Jun","Jul","Ago","Sep","Oct","Nov","Dic"),IF(G41="Lo antes posible","Oct","Por definir"))</f>
        <v/>
      </c>
      <c r="I41" s="10" t="n">
        <v>1</v>
      </c>
      <c r="J41" s="12">
        <f>IF(VLOOKUP(E41,$B$5:$C$10,2,FALSE)="","",VLOOKUP(E41,$B$5:$C$10,2,FALSE))</f>
        <v/>
      </c>
      <c r="K41" s="12">
        <f>IF(J41="","",I41*J41)</f>
        <v/>
      </c>
      <c r="L41" s="13" t="inlineStr"/>
    </row>
    <row r="42">
      <c r="A42" s="10" t="n">
        <v>26</v>
      </c>
      <c r="B42" s="10" t="inlineStr">
        <is>
          <t>Alado &amp; Co.</t>
        </is>
      </c>
      <c r="C42" s="10" t="inlineStr">
        <is>
          <t>Taller de pintura textil (kimono)</t>
        </is>
      </c>
      <c r="D42" s="10" t="inlineStr">
        <is>
          <t>Video promocional</t>
        </is>
      </c>
      <c r="E42" s="10" t="inlineStr">
        <is>
          <t>Video</t>
        </is>
      </c>
      <c r="F42" s="10" t="n"/>
      <c r="G42" s="11" t="n">
        <v>46343</v>
      </c>
      <c r="H42" s="10">
        <f>IF(ISNUMBER(G42),CHOOSE(MONTH(G42),"Ene","Feb","Mar","Abr","May","Jun","Jul","Ago","Sep","Oct","Nov","Dic"),IF(G42="Lo antes posible","Oct","Por definir"))</f>
        <v/>
      </c>
      <c r="I42" s="10" t="n">
        <v>1</v>
      </c>
      <c r="J42" s="12">
        <f>IF(VLOOKUP(E42,$B$5:$C$10,2,FALSE)="","",VLOOKUP(E42,$B$5:$C$10,2,FALSE))</f>
        <v/>
      </c>
      <c r="K42" s="12">
        <f>IF(J42="","",I42*J42)</f>
        <v/>
      </c>
      <c r="L42" s="13" t="inlineStr">
        <is>
          <t>Fecha de grabación por definir</t>
        </is>
      </c>
    </row>
    <row r="43">
      <c r="A43" s="10" t="n">
        <v>27</v>
      </c>
      <c r="B43" s="10" t="inlineStr">
        <is>
          <t>Alado &amp; Co.</t>
        </is>
      </c>
      <c r="C43" s="10" t="inlineStr">
        <is>
          <t>Taller de pintura textil (kimono)</t>
        </is>
      </c>
      <c r="D43" s="10" t="inlineStr">
        <is>
          <t>Invitación</t>
        </is>
      </c>
      <c r="E43" s="10" t="inlineStr">
        <is>
          <t>Pieza gráfica</t>
        </is>
      </c>
      <c r="F43" s="10" t="n"/>
      <c r="G43" s="11" t="n">
        <v>46346</v>
      </c>
      <c r="H43" s="10">
        <f>IF(ISNUMBER(G43),CHOOSE(MONTH(G43),"Ene","Feb","Mar","Abr","May","Jun","Jul","Ago","Sep","Oct","Nov","Dic"),IF(G43="Lo antes posible","Oct","Por definir"))</f>
        <v/>
      </c>
      <c r="I43" s="10" t="n">
        <v>1</v>
      </c>
      <c r="J43" s="12">
        <f>IF(VLOOKUP(E43,$B$5:$C$10,2,FALSE)="","",VLOOKUP(E43,$B$5:$C$10,2,FALSE))</f>
        <v/>
      </c>
      <c r="K43" s="12">
        <f>IF(J43="","",I43*J43)</f>
        <v/>
      </c>
      <c r="L43" s="13" t="inlineStr"/>
    </row>
    <row r="44">
      <c r="A44" s="10" t="n">
        <v>28</v>
      </c>
      <c r="B44" s="10" t="inlineStr">
        <is>
          <t>Alado &amp; Co.</t>
        </is>
      </c>
      <c r="C44" s="10" t="inlineStr">
        <is>
          <t>Taller de pintura textil (kimono)</t>
        </is>
      </c>
      <c r="D44" s="10" t="inlineStr">
        <is>
          <t>Gestión y organización del taller</t>
        </is>
      </c>
      <c r="E44" s="10" t="inlineStr">
        <is>
          <t>Gestión de taller</t>
        </is>
      </c>
      <c r="F44" s="10" t="n"/>
      <c r="G44" s="11" t="n">
        <v>46368</v>
      </c>
      <c r="H44" s="10">
        <f>IF(ISNUMBER(G44),CHOOSE(MONTH(G44),"Ene","Feb","Mar","Abr","May","Jun","Jul","Ago","Sep","Oct","Nov","Dic"),IF(G44="Lo antes posible","Oct","Por definir"))</f>
        <v/>
      </c>
      <c r="I44" s="10" t="n">
        <v>1</v>
      </c>
      <c r="J44" s="12">
        <f>IF(VLOOKUP(E44,$B$5:$C$10,2,FALSE)="","",VLOOKUP(E44,$B$5:$C$10,2,FALSE))</f>
        <v/>
      </c>
      <c r="K44" s="12">
        <f>IF(J44="","",I44*J44)</f>
        <v/>
      </c>
      <c r="L44" s="13" t="inlineStr">
        <is>
          <t>Hasta el día del taller</t>
        </is>
      </c>
    </row>
    <row r="45">
      <c r="A45" s="10" t="n">
        <v>29</v>
      </c>
      <c r="B45" s="10" t="inlineStr">
        <is>
          <t>Alado &amp; Co.</t>
        </is>
      </c>
      <c r="C45" s="10" t="inlineStr">
        <is>
          <t>Taller de pintura textil (kimono)</t>
        </is>
      </c>
      <c r="D45" s="10" t="inlineStr">
        <is>
          <t>Video del taller</t>
        </is>
      </c>
      <c r="E45" s="10" t="inlineStr">
        <is>
          <t>Video</t>
        </is>
      </c>
      <c r="F45" s="11" t="n">
        <v>46368</v>
      </c>
      <c r="G45" s="11" t="n">
        <v>46370</v>
      </c>
      <c r="H45" s="10">
        <f>IF(ISNUMBER(G45),CHOOSE(MONTH(G45),"Ene","Feb","Mar","Abr","May","Jun","Jul","Ago","Sep","Oct","Nov","Dic"),IF(G45="Lo antes posible","Oct","Por definir"))</f>
        <v/>
      </c>
      <c r="I45" s="10" t="n">
        <v>1</v>
      </c>
      <c r="J45" s="12">
        <f>IF(VLOOKUP(E45,$B$5:$C$10,2,FALSE)="","",VLOOKUP(E45,$B$5:$C$10,2,FALSE))</f>
        <v/>
      </c>
      <c r="K45" s="12">
        <f>IF(J45="","",I45*J45)</f>
        <v/>
      </c>
      <c r="L45" s="13" t="inlineStr">
        <is>
          <t>Sale 2 días después</t>
        </is>
      </c>
    </row>
    <row r="46">
      <c r="J46" s="15" t="inlineStr">
        <is>
          <t>Subtotal alado &amp; co.</t>
        </is>
      </c>
      <c r="K46" s="16">
        <f>SUM(K32:K45)</f>
        <v/>
      </c>
    </row>
    <row r="48">
      <c r="A48" s="8" t="inlineStr">
        <is>
          <t>OPCIONALES DEL TALLER DE CERÁMICA · cantidad 0, cambia a 1 si se cobran aparte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10" t="n">
        <v>30</v>
      </c>
      <c r="B49" s="10" t="inlineStr">
        <is>
          <t>Alado &amp; Co.</t>
        </is>
      </c>
      <c r="C49" s="10" t="inlineStr">
        <is>
          <t>Taller de pintura cerámica</t>
        </is>
      </c>
      <c r="D49" s="10" t="inlineStr">
        <is>
          <t>Post de confirmación de cupo</t>
        </is>
      </c>
      <c r="E49" s="10" t="inlineStr">
        <is>
          <t>Pieza gráfica</t>
        </is>
      </c>
      <c r="F49" s="10" t="n"/>
      <c r="G49" s="11" t="n">
        <v>46308</v>
      </c>
      <c r="H49" s="10">
        <f>IF(ISNUMBER(G49),CHOOSE(MONTH(G49),"Ene","Feb","Mar","Abr","May","Jun","Jul","Ago","Sep","Oct","Nov","Dic"),IF(G49="Lo antes posible","Oct","Por definir"))</f>
        <v/>
      </c>
      <c r="I49" s="14" t="n">
        <v>0</v>
      </c>
      <c r="J49" s="12">
        <f>IF(VLOOKUP(E49,$B$5:$C$10,2,FALSE)="","",VLOOKUP(E49,$B$5:$C$10,2,FALSE))</f>
        <v/>
      </c>
      <c r="K49" s="12">
        <f>IF(J49="","",I49*J49)</f>
        <v/>
      </c>
      <c r="L49" s="13" t="inlineStr">
        <is>
          <t>¿Dentro de gestión o aparte?</t>
        </is>
      </c>
    </row>
    <row r="50">
      <c r="A50" s="10" t="n">
        <v>31</v>
      </c>
      <c r="B50" s="10" t="inlineStr">
        <is>
          <t>Alado &amp; Co.</t>
        </is>
      </c>
      <c r="C50" s="10" t="inlineStr">
        <is>
          <t>Taller de pintura cerámica</t>
        </is>
      </c>
      <c r="D50" s="10" t="inlineStr">
        <is>
          <t>Términos y condiciones (PDF)</t>
        </is>
      </c>
      <c r="E50" s="10" t="inlineStr">
        <is>
          <t>Pieza gráfica</t>
        </is>
      </c>
      <c r="F50" s="10" t="n"/>
      <c r="G50" s="10" t="n"/>
      <c r="H50" s="10">
        <f>IF(ISNUMBER(G50),CHOOSE(MONTH(G50),"Ene","Feb","Mar","Abr","May","Jun","Jul","Ago","Sep","Oct","Nov","Dic"),IF(G50="Lo antes posible","Oct","Por definir"))</f>
        <v/>
      </c>
      <c r="I50" s="14" t="n">
        <v>0</v>
      </c>
      <c r="J50" s="12">
        <f>IF(VLOOKUP(E50,$B$5:$C$10,2,FALSE)="","",VLOOKUP(E50,$B$5:$C$10,2,FALSE))</f>
        <v/>
      </c>
      <c r="K50" s="12">
        <f>IF(J50="","",I50*J50)</f>
        <v/>
      </c>
      <c r="L50" s="13" t="inlineStr">
        <is>
          <t>¿Dentro de gestión o aparte?</t>
        </is>
      </c>
    </row>
    <row r="51">
      <c r="A51" s="10" t="n">
        <v>32</v>
      </c>
      <c r="B51" s="10" t="inlineStr">
        <is>
          <t>Alado &amp; Co.</t>
        </is>
      </c>
      <c r="C51" s="10" t="inlineStr">
        <is>
          <t>Taller de pintura cerámica</t>
        </is>
      </c>
      <c r="D51" s="10" t="inlineStr">
        <is>
          <t>Carrusel «Cómo participar» (si se publica)</t>
        </is>
      </c>
      <c r="E51" s="10" t="inlineStr">
        <is>
          <t>Carrusel</t>
        </is>
      </c>
      <c r="F51" s="10" t="n"/>
      <c r="G51" s="10" t="n"/>
      <c r="H51" s="10">
        <f>IF(ISNUMBER(G51),CHOOSE(MONTH(G51),"Ene","Feb","Mar","Abr","May","Jun","Jul","Ago","Sep","Oct","Nov","Dic"),IF(G51="Lo antes posible","Oct","Por definir"))</f>
        <v/>
      </c>
      <c r="I51" s="14" t="n">
        <v>0</v>
      </c>
      <c r="J51" s="12">
        <f>IF(VLOOKUP(E51,$B$5:$C$10,2,FALSE)="","",VLOOKUP(E51,$B$5:$C$10,2,FALSE))</f>
        <v/>
      </c>
      <c r="K51" s="12">
        <f>IF(J51="","",I51*J51)</f>
        <v/>
      </c>
      <c r="L51" s="13" t="inlineStr">
        <is>
          <t>Hay texto; falta diseño</t>
        </is>
      </c>
    </row>
    <row r="52">
      <c r="J52" s="15" t="inlineStr">
        <is>
          <t>Subtotal opcionales del taller de cerámica</t>
        </is>
      </c>
      <c r="K52" s="16">
        <f>SUM(K49:K51)</f>
        <v/>
      </c>
    </row>
    <row r="54">
      <c r="A54" s="3" t="inlineStr">
        <is>
          <t>RESUMEN</t>
        </is>
      </c>
    </row>
    <row r="55">
      <c r="D55" t="inlineStr">
        <is>
          <t>Alado Bride</t>
        </is>
      </c>
      <c r="K55" s="17">
        <f>K29</f>
        <v/>
      </c>
    </row>
    <row r="56">
      <c r="D56" t="inlineStr">
        <is>
          <t>Alado &amp; Co.</t>
        </is>
      </c>
      <c r="K56" s="17">
        <f>K46</f>
        <v/>
      </c>
    </row>
    <row r="57">
      <c r="D57" t="inlineStr">
        <is>
          <t>Opcionales</t>
        </is>
      </c>
      <c r="K57" s="17">
        <f>K52</f>
        <v/>
      </c>
    </row>
    <row r="58">
      <c r="A58" s="18" t="n"/>
      <c r="B58" s="18" t="n"/>
      <c r="C58" s="18" t="n"/>
      <c r="D58" s="19" t="inlineStr">
        <is>
          <t>TOTAL</t>
        </is>
      </c>
      <c r="E58" s="18" t="n"/>
      <c r="F58" s="18" t="n"/>
      <c r="G58" s="18" t="n"/>
      <c r="H58" s="18" t="n"/>
      <c r="I58" s="18" t="n"/>
      <c r="J58" s="18" t="n"/>
      <c r="K58" s="20">
        <f>SUM(K55:K57)</f>
        <v/>
      </c>
      <c r="L58" s="18" t="n"/>
    </row>
    <row r="59">
      <c r="D59" s="21" t="inlineStr">
        <is>
          <t>Gestión de talleres y campaña de fotos todavía no tienen tarifa: el total sube cuando las definas.</t>
        </is>
      </c>
    </row>
    <row r="61">
      <c r="A61" s="3" t="inlineStr">
        <is>
          <t>POR MES (según fecha de publicación)</t>
        </is>
      </c>
    </row>
    <row r="62">
      <c r="D62" t="inlineStr">
        <is>
          <t>Oct</t>
        </is>
      </c>
      <c r="K62" s="17">
        <f>SUMIF(H13:H51,"Oct",K13:K51)</f>
        <v/>
      </c>
    </row>
    <row r="63">
      <c r="D63" t="inlineStr">
        <is>
          <t>Nov</t>
        </is>
      </c>
      <c r="K63" s="17">
        <f>SUMIF(H13:H51,"Nov",K13:K51)</f>
        <v/>
      </c>
    </row>
    <row r="64">
      <c r="D64" t="inlineStr">
        <is>
          <t>Dic</t>
        </is>
      </c>
      <c r="K64" s="17">
        <f>SUMIF(H13:H51,"Dic",K13:K51)</f>
        <v/>
      </c>
    </row>
    <row r="65">
      <c r="D65" t="inlineStr">
        <is>
          <t>Ene</t>
        </is>
      </c>
      <c r="K65" s="17">
        <f>SUMIF(H13:H51,"Ene",K13:K51)</f>
        <v/>
      </c>
    </row>
    <row r="66">
      <c r="D66" t="inlineStr">
        <is>
          <t>Por definir</t>
        </is>
      </c>
      <c r="K66" s="17">
        <f>SUMIF(H13:H51,"Por definir",K13:K51)</f>
        <v/>
      </c>
    </row>
    <row r="67">
      <c r="D67" s="6" t="inlineStr">
        <is>
          <t>Total por mes (debe ser igual al TOTAL)</t>
        </is>
      </c>
      <c r="K67" s="17">
        <f>SUM(K62:K66)</f>
        <v/>
      </c>
    </row>
    <row r="69">
      <c r="A69" s="3" t="inlineStr">
        <is>
          <t>CONDICIONES</t>
        </is>
      </c>
    </row>
    <row r="70">
      <c r="B70" t="inlineStr">
        <is>
          <t>· 50% al aprobar y 50% contra entrega, por mes.</t>
        </is>
      </c>
    </row>
    <row r="71">
      <c r="B71" t="inlineStr">
        <is>
          <t>· Hasta dos rondas de ajustes por pieza.</t>
        </is>
      </c>
    </row>
    <row r="72">
      <c r="B72" t="inlineStr">
        <is>
          <t>· Piezas extra a la tarifa vigente.</t>
        </is>
      </c>
    </row>
    <row r="73">
      <c r="B73" t="inlineStr">
        <is>
          <t>· Gastos reembolsables aparte, previa aprobación (transporte, equipo, música con licencia).</t>
        </is>
      </c>
    </row>
    <row r="74">
      <c r="B74" t="inlineStr">
        <is>
          <t>· Los derechos del contenido son de Alado; Sara puede mostrarlo en su portafolio.</t>
        </is>
      </c>
    </row>
    <row r="76">
      <c r="A76" s="22" t="inlineStr">
        <is>
          <t>DATOS QUE FALTAN</t>
        </is>
      </c>
    </row>
    <row r="77">
      <c r="B77" t="inlineStr">
        <is>
          <t>· Tarifa de gestión y organización por taller.</t>
        </is>
      </c>
    </row>
    <row r="78">
      <c r="B78" t="inlineStr">
        <is>
          <t>· Tarifa de la campaña de fotos de textil hogar (y cuántas fotos editadas se entregan).</t>
        </is>
      </c>
    </row>
    <row r="79">
      <c r="B79" t="inlineStr">
        <is>
          <t>· Tarifa de pieza gráfica suelta (hoy igual al set de historias).</t>
        </is>
      </c>
    </row>
    <row r="80">
      <c r="B80" t="inlineStr">
        <is>
          <t>· Número de partes de la serie con Lilo.</t>
        </is>
      </c>
    </row>
    <row r="81">
      <c r="B81" t="inlineStr">
        <is>
          <t>· Fechas: servicio con Lola, Alejo como artista, Alejo 7 claves, video promocional del kimono, taller de los Pérez.</t>
        </is>
      </c>
    </row>
    <row r="82">
      <c r="B82" t="inlineStr">
        <is>
          <t>· ¿Salieron el Destacado «Bride» (9 oct) y el figurín en vivo (13 oct)?</t>
        </is>
      </c>
    </row>
    <row r="83">
      <c r="B83" t="inlineStr">
        <is>
          <t>· ¿Se cotizan el video de los Pérez y el contenido del lanzamiento con Entrelazos (27 nov)?</t>
        </is>
      </c>
    </row>
    <row r="84">
      <c r="B84" t="inlineStr">
        <is>
          <t>· ¿Los opcionales del taller de cerámica van dentro de gestión o aparte?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2026-10-14T17:30:27Z</dcterms:created>
  <dcterms:modified xmlns:dcterms="http://purl.org/dc/terms/" xmlns:xsi="http://www.w3.org/2001/XMLSchema-instance" xsi:type="dcterms:W3CDTF">2026-10-14T17:30:27Z</dcterms:modified>
</cp:coreProperties>
</file>