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ller de bar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</font>
    <font>
      <name val="Arial"/>
      <b val="1"/>
      <color rgb="000000FF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B3A2B"/>
      </patternFill>
    </fill>
    <fill>
      <patternFill patternType="solid">
        <fgColor rgb="00FFFF00"/>
      </patternFill>
    </fill>
    <fill>
      <patternFill patternType="solid">
        <fgColor rgb="00EFE6D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" fontId="5" fillId="3" borderId="1" pivotButton="0" quotePrefix="0" xfId="0"/>
    <xf numFmtId="164" fontId="5" fillId="3" borderId="1" pivotButton="0" quotePrefix="0" xfId="0"/>
    <xf numFmtId="165" fontId="5" fillId="3" borderId="1" pivotButton="0" quotePrefix="0" xfId="0"/>
    <xf numFmtId="164" fontId="4" fillId="0" borderId="1" pivotButton="0" quotePrefix="0" xfId="0"/>
    <xf numFmtId="1" fontId="4" fillId="0" borderId="1" pivotButton="0" quotePrefix="0" xfId="0"/>
    <xf numFmtId="0" fontId="6" fillId="0" borderId="0" pivotButton="0" quotePrefix="0" xfId="0"/>
    <xf numFmtId="164" fontId="6" fillId="4" borderId="1" pivotButton="0" quotePrefix="0" xfId="0"/>
    <xf numFmtId="165" fontId="6" fillId="4" borderId="1" pivotButton="0" quotePrefix="0" xfId="0"/>
    <xf numFmtId="49" fontId="4" fillId="0" borderId="1" pivotButton="0" quotePrefix="0" xfId="0"/>
    <xf numFmtId="165" fontId="4" fillId="0" borderId="1" pivotButton="0" quotePrefix="0" xfId="0"/>
    <xf numFmtId="164" fontId="6" fillId="3" borderId="1" pivotButton="0" quotePrefix="0" xfId="0"/>
    <xf numFmtId="1" fontId="6" fillId="4" borderId="1" pivotButton="0" quotePrefix="0" xfId="0"/>
    <xf numFmtId="0" fontId="6" fillId="4" borderId="1" applyAlignment="1" pivotButton="0" quotePrefix="0" xfId="0">
      <alignment horizontal="center"/>
    </xf>
    <xf numFmtId="165" fontId="5" fillId="3" borderId="1" applyAlignment="1" pivotButton="0" quotePrefix="0" xfId="0">
      <alignment horizontal="center"/>
    </xf>
    <xf numFmtId="1" fontId="5" fillId="3" borderId="1" applyAlignment="1" pivotButton="0" quotePrefix="0" xfId="0">
      <alignment horizontal="center"/>
    </xf>
    <xf numFmtId="164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Alado</author>
  </authors>
  <commentList>
    <comment ref="B6" authorId="0" shapeId="0">
      <text>
        <t>ESTIMADO. Con un solo torno conviene un grupo pequeño; el resto del tiempo se modela a mano.</t>
      </text>
    </comment>
    <comment ref="B7" authorId="0" shapeId="0">
      <text>
        <t>ESTIMADO. Mira abajo el precio recomendado.</t>
      </text>
    </comment>
    <comment ref="B8" authorId="0" shapeId="0">
      <text>
        <t>Ganancia dividida entre lo que cobras. 40% = de cada $100 cobrados, $40 son ganancia.</t>
      </text>
    </comment>
    <comment ref="B10" authorId="0" shapeId="0">
      <text>
        <t>ESTIMADO. Pon 0% si no quieres colchón.</t>
      </text>
    </comment>
    <comment ref="B11" authorId="0" shapeId="0">
      <text>
        <t>ESTIMADO.</t>
      </text>
    </comment>
    <comment ref="B12" authorId="0" shapeId="0">
      <text>
        <t>ESTIMADO: unos 2 a 3 kg por persona. Pon el precio real del barro.</t>
      </text>
    </comment>
    <comment ref="B13" authorId="0" shapeId="0">
      <text>
        <t>ESTIMADO.</t>
      </text>
    </comment>
    <comment ref="B14" authorId="0" shapeId="0">
      <text>
        <t>ESTIMADO. Las piezas del torno suelen ser más grandes que un pocillo (antes se usó $3.000).</t>
      </text>
    </comment>
    <comment ref="B15" authorId="0" shapeId="0">
      <text>
        <t>ESTIMADO.</t>
      </text>
    </comment>
    <comment ref="B16" authorId="0" shapeId="0">
      <text>
        <t>ESTIMADO. Pon $0 si lo pone un aliado.</t>
      </text>
    </comment>
    <comment ref="B17" authorId="0" shapeId="0">
      <text>
        <t>ESTIMADO.</t>
      </text>
    </comment>
    <comment ref="B18" authorId="0" shapeId="0">
      <text>
        <t>ESTIMADO.</t>
      </text>
    </comment>
    <comment ref="B19" authorId="0" shapeId="0">
      <text>
        <t>ESTIMADO: no tengo su tarifa. Cámbiala.</t>
      </text>
    </comment>
    <comment ref="B20" authorId="0" shapeId="0">
      <text>
        <t>ESTIMADO.</t>
      </text>
    </comment>
    <comment ref="B21" authorId="0" shapeId="0">
      <text>
        <t>Son los fundadores. Pon un valor si quieres imputar su tiempo.</t>
      </text>
    </comment>
    <comment ref="B22" authorId="0" shapeId="0">
      <text>
        <t>ESTIMADO. Se compran una vez.</t>
      </text>
    </comment>
    <comment ref="B23" authorId="0" shapeId="0">
      <text>
        <t>Los de los otros talleres se pueden reutilizar.</t>
      </text>
    </comment>
    <comment ref="B24" authorId="0" shapeId="0">
      <text>
        <t>ESTIMADO.</t>
      </text>
    </comment>
    <comment ref="B25" authorId="0" shapeId="0">
      <text>
        <t>Pon un valor si se carga contenido de redes a este taller.</t>
      </text>
    </comment>
    <comment ref="B46" authorId="0" shapeId="0">
      <text>
        <t>Propuesta de partida. Súbelo o bájalo según lo que negocies.</t>
      </text>
    </comment>
    <comment ref="B49" authorId="0" shapeId="0">
      <text>
        <t>Escribe el valor acordado. La ganancia de abajo se recalcula sola.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cols>
    <col width="68" customWidth="1" min="1" max="1"/>
    <col width="17" customWidth="1" min="2" max="2"/>
    <col width="17" customWidth="1" min="3" max="3"/>
    <col width="17" customWidth="1" min="4" max="4"/>
    <col width="14" customWidth="1" min="5" max="5"/>
    <col width="22" customWidth="1" min="6" max="6"/>
    <col width="18" customWidth="1" min="7" max="7"/>
  </cols>
  <sheetData>
    <row r="1">
      <c r="A1" s="1" t="inlineStr">
        <is>
          <t>Taller de barro · con don Chucho y su torno · precio del cupo, margen y ganancia</t>
        </is>
      </c>
    </row>
    <row r="2">
      <c r="A2" s="2" t="inlineStr">
        <is>
          <t>Barro, modelado a mano y torno · cada persona se lleva sus piezas horneadas</t>
        </is>
      </c>
    </row>
    <row r="3">
      <c r="A3" s="2" t="inlineStr">
        <is>
          <t>Edita solo las celdas AMARILLAS. Casi todo está ESTIMADO: reemplázalo con los datos reales de don Chucho.</t>
        </is>
      </c>
    </row>
    <row r="5">
      <c r="A5" s="3" t="inlineStr">
        <is>
          <t>EDITA ESTO</t>
        </is>
      </c>
    </row>
    <row r="6">
      <c r="A6" s="4" t="inlineStr">
        <is>
          <t>Nº de personas</t>
        </is>
      </c>
      <c r="B6" s="5" t="n">
        <v>10</v>
      </c>
    </row>
    <row r="7">
      <c r="A7" s="4" t="inlineStr">
        <is>
          <t>Precio del cupo (lo que cobras)</t>
        </is>
      </c>
      <c r="B7" s="6" t="n">
        <v>200000</v>
      </c>
    </row>
    <row r="8">
      <c r="A8" s="4" t="inlineStr">
        <is>
          <t>Margen de ganancia que quieres (sobre ventas)</t>
        </is>
      </c>
      <c r="B8" s="7" t="n">
        <v>0.4</v>
      </c>
    </row>
    <row r="9">
      <c r="A9" s="4" t="inlineStr">
        <is>
          <t>Comisión de pago online (0% si es transferencia)</t>
        </is>
      </c>
      <c r="B9" s="7" t="n">
        <v>0</v>
      </c>
    </row>
    <row r="10">
      <c r="A10" s="4" t="inlineStr">
        <is>
          <t>Imprevistos (% de los costos)</t>
        </is>
      </c>
      <c r="B10" s="7" t="n">
        <v>0.05</v>
      </c>
    </row>
    <row r="11">
      <c r="A11" s="4" t="inlineStr">
        <is>
          <t>Duración del taller (horas)</t>
        </is>
      </c>
      <c r="B11" s="5" t="n">
        <v>3</v>
      </c>
    </row>
    <row r="12">
      <c r="A12" s="4" t="inlineStr">
        <is>
          <t>Barro / arcilla (por persona)</t>
        </is>
      </c>
      <c r="B12" s="6" t="n">
        <v>15000</v>
      </c>
    </row>
    <row r="13">
      <c r="A13" s="4" t="inlineStr">
        <is>
          <t>Piezas por persona que se hornean</t>
        </is>
      </c>
      <c r="B13" s="5" t="n">
        <v>2</v>
      </c>
    </row>
    <row r="14">
      <c r="A14" s="4" t="inlineStr">
        <is>
          <t>Quema por pieza</t>
        </is>
      </c>
      <c r="B14" s="6" t="n">
        <v>5000</v>
      </c>
    </row>
    <row r="15">
      <c r="A15" s="4" t="inlineStr">
        <is>
          <t>Esponjas, palillos, alambre y materiales que se gastan (por persona)</t>
        </is>
      </c>
      <c r="B15" s="6" t="n">
        <v>3000</v>
      </c>
    </row>
    <row r="16">
      <c r="A16" s="4" t="inlineStr">
        <is>
          <t>Refrigerio (por persona)</t>
        </is>
      </c>
      <c r="B16" s="6" t="n">
        <v>20000</v>
      </c>
    </row>
    <row r="17">
      <c r="A17" s="4" t="inlineStr">
        <is>
          <t>Empaque para llevarse las piezas (por persona)</t>
        </is>
      </c>
      <c r="B17" s="6" t="n">
        <v>3000</v>
      </c>
    </row>
    <row r="18">
      <c r="A18" s="4" t="inlineStr">
        <is>
          <t>Don Chucho · horas (taller + montaje del torno)</t>
        </is>
      </c>
      <c r="B18" s="5" t="n">
        <v>4</v>
      </c>
    </row>
    <row r="19">
      <c r="A19" s="4" t="inlineStr">
        <is>
          <t>Don Chucho · valor por hora</t>
        </is>
      </c>
      <c r="B19" s="6" t="n">
        <v>20000</v>
      </c>
    </row>
    <row r="20">
      <c r="A20" s="4" t="inlineStr">
        <is>
          <t>Transporte y montaje del torno (total)</t>
        </is>
      </c>
      <c r="B20" s="6" t="n">
        <v>60000</v>
      </c>
    </row>
    <row r="21">
      <c r="A21" s="4" t="inlineStr">
        <is>
          <t>Andrés y Alejo (tiempo imputado, total)</t>
        </is>
      </c>
      <c r="B21" s="6" t="n">
        <v>0</v>
      </c>
    </row>
    <row r="22">
      <c r="A22" s="4" t="inlineStr">
        <is>
          <t>Materiales reutilizables: toallas, baldes, tablas, plástico para mesas (total)</t>
        </is>
      </c>
      <c r="B22" s="6" t="n">
        <v>120000</v>
      </c>
    </row>
    <row r="23">
      <c r="A23" s="4" t="inlineStr">
        <is>
          <t>Delantales (total; $0 si ya los tienen)</t>
        </is>
      </c>
      <c r="B23" s="6" t="n">
        <v>0</v>
      </c>
    </row>
    <row r="24">
      <c r="A24" s="4" t="inlineStr">
        <is>
          <t>Otros fijos: transporte, flores, promoción (total)</t>
        </is>
      </c>
      <c r="B24" s="6" t="n">
        <v>150000</v>
      </c>
    </row>
    <row r="25">
      <c r="A25" s="4" t="inlineStr">
        <is>
          <t>Contenido del taller (piezas de Sara)</t>
        </is>
      </c>
      <c r="B25" s="6" t="n">
        <v>0</v>
      </c>
    </row>
    <row r="26">
      <c r="A26" s="4" t="inlineStr">
        <is>
          <t>Pago al lugar o aliado (total) · se escribe en la sección «Pago al lugar»</t>
        </is>
      </c>
      <c r="B26" s="8">
        <f>B49</f>
        <v/>
      </c>
    </row>
    <row r="28">
      <c r="A28" s="3" t="inlineStr">
        <is>
          <t>RESULTADO</t>
        </is>
      </c>
    </row>
    <row r="29">
      <c r="A29" s="4" t="inlineStr">
        <is>
          <t>Minutos de torno que le tocan a cada persona (1 torno; el resto, modelado a mano)</t>
        </is>
      </c>
      <c r="B29" s="9">
        <f>B11*60/B6</f>
        <v/>
      </c>
    </row>
    <row r="30">
      <c r="A30" s="4" t="inlineStr">
        <is>
          <t>Costo variable por persona (barro, quema, materiales, refrigerio, empaque)</t>
        </is>
      </c>
      <c r="B30" s="8">
        <f>B12+B13*B14+B15+B16+B17</f>
        <v/>
      </c>
    </row>
    <row r="31">
      <c r="A31" s="4" t="inlineStr">
        <is>
          <t>Costos fijos (don Chucho, torno, fundadores, materiales, delantales, otros y contenido)</t>
        </is>
      </c>
      <c r="B31" s="8">
        <f>B18*B19+B20+B21+B22+B23+B24+B25</f>
        <v/>
      </c>
    </row>
    <row r="32">
      <c r="A32" s="4" t="inlineStr">
        <is>
          <t>Costos base (fijos + variables × personas)</t>
        </is>
      </c>
      <c r="B32" s="8">
        <f>B31+B30*B6</f>
        <v/>
      </c>
    </row>
    <row r="33">
      <c r="A33" s="4" t="inlineStr">
        <is>
          <t>Imprevistos</t>
        </is>
      </c>
      <c r="B33" s="8">
        <f>B32*B10</f>
        <v/>
      </c>
    </row>
    <row r="34">
      <c r="A34" s="4" t="inlineStr">
        <is>
          <t>Pago al lugar o aliado</t>
        </is>
      </c>
      <c r="B34" s="8">
        <f>B26</f>
        <v/>
      </c>
    </row>
    <row r="35">
      <c r="A35" s="10" t="inlineStr">
        <is>
          <t>COSTO TOTAL del taller</t>
        </is>
      </c>
      <c r="B35" s="11">
        <f>B32+B33+B34</f>
        <v/>
      </c>
    </row>
    <row r="36">
      <c r="A36" s="4" t="inlineStr">
        <is>
          <t>Costo por persona</t>
        </is>
      </c>
      <c r="B36" s="8">
        <f>B35/B6</f>
        <v/>
      </c>
    </row>
    <row r="37">
      <c r="A37" s="4" t="inlineStr">
        <is>
          <t>Ingresos por cupos (precio × personas)</t>
        </is>
      </c>
      <c r="B37" s="8">
        <f>B7*B6</f>
        <v/>
      </c>
    </row>
    <row r="38">
      <c r="A38" s="4" t="inlineStr">
        <is>
          <t>Comisión de pago online</t>
        </is>
      </c>
      <c r="B38" s="8">
        <f>B37*B9</f>
        <v/>
      </c>
    </row>
    <row r="39">
      <c r="A39" s="10" t="inlineStr">
        <is>
          <t>GANANCIA (después de pagarle al lugar)</t>
        </is>
      </c>
      <c r="B39" s="11">
        <f>B37-B38-B35</f>
        <v/>
      </c>
    </row>
    <row r="40">
      <c r="A40" s="10" t="inlineStr">
        <is>
          <t>MARGEN real (ganancia ÷ ingresos)</t>
        </is>
      </c>
      <c r="B40" s="12">
        <f>IF(B37&gt;0,B39/B37,0)</f>
        <v/>
      </c>
    </row>
    <row r="41">
      <c r="A41" s="4" t="inlineStr">
        <is>
          <t>Ganancia por persona</t>
        </is>
      </c>
      <c r="B41" s="8">
        <f>B39/B6</f>
        <v/>
      </c>
    </row>
    <row r="42">
      <c r="A42" s="4" t="inlineStr">
        <is>
          <t>¿Cumple el margen que quieres?</t>
        </is>
      </c>
      <c r="B42" s="13">
        <f>IF(B40&gt;=B8,"Sí, cumple","No: está por debajo")</f>
        <v/>
      </c>
    </row>
    <row r="44">
      <c r="A44" s="3" t="inlineStr">
        <is>
          <t>PAGO AL LUGAR O ALIADO (por ejemplo, un restaurante)</t>
        </is>
      </c>
    </row>
    <row r="45">
      <c r="A45" s="4" t="inlineStr">
        <is>
          <t>Ganancia antes de pagarle al lugar</t>
        </is>
      </c>
      <c r="B45" s="8">
        <f>B37-B38-(B32+B33)</f>
        <v/>
      </c>
    </row>
    <row r="46">
      <c r="A46" s="4" t="inlineStr">
        <is>
          <t>% de esa ganancia que le ofreces</t>
        </is>
      </c>
      <c r="B46" s="7" t="n">
        <v>0.3</v>
      </c>
    </row>
    <row r="47">
      <c r="A47" s="10" t="inlineStr">
        <is>
          <t>PAGO SUGERIDO (redondeado a $5.000)</t>
        </is>
      </c>
      <c r="B47" s="11">
        <f>MAX(0,ROUNDDOWN(B45*B46/5000,0)*5000)</f>
        <v/>
      </c>
    </row>
    <row r="48">
      <c r="A48" s="4" t="inlineStr">
        <is>
          <t>…por persona</t>
        </is>
      </c>
      <c r="B48" s="8">
        <f>B47/B6</f>
        <v/>
      </c>
    </row>
    <row r="49">
      <c r="A49" s="10" t="inlineStr">
        <is>
          <t>LO QUE ACUERDAS PAGAR (escribe aquí; $0 si el lugar es de Alado)</t>
        </is>
      </c>
      <c r="B49" s="6" t="n">
        <v>0</v>
      </c>
    </row>
    <row r="50">
      <c r="A50" s="10" t="inlineStr">
        <is>
          <t>TU GANANCIA después de pagarle</t>
        </is>
      </c>
      <c r="B50" s="11">
        <f>B45-B49</f>
        <v/>
      </c>
    </row>
    <row r="51">
      <c r="A51" s="4" t="inlineStr">
        <is>
          <t>Tu margen después de pagarle</t>
        </is>
      </c>
      <c r="B51" s="14">
        <f>IF(B37&gt;0,B50/B37,0)</f>
        <v/>
      </c>
    </row>
    <row r="52">
      <c r="A52" s="4" t="inlineStr">
        <is>
          <t>Máximo que puedes pagar sin perder dinero</t>
        </is>
      </c>
      <c r="B52" s="8">
        <f>MAX(0,B45)</f>
        <v/>
      </c>
    </row>
    <row r="53">
      <c r="A53" s="4" t="inlineStr">
        <is>
          <t>Aviso</t>
        </is>
      </c>
      <c r="B53" s="13">
        <f>IF(B49&gt;B45,"Cuidado: con ese pago pierdes dinero",IF(B51&lt;B8,"Ganas, pero por debajo de tu margen","Cumples tu margen"))</f>
        <v/>
      </c>
    </row>
    <row r="55">
      <c r="A55" s="3" t="inlineStr">
        <is>
          <t>CUÁNTO DEBE VALER EL CUPO</t>
        </is>
      </c>
    </row>
    <row r="56">
      <c r="A56" s="4" t="inlineStr">
        <is>
          <t>Precio mínimo (no pierdes ni ganas)</t>
        </is>
      </c>
      <c r="B56" s="8">
        <f>B35/(B6*(1-B9))</f>
        <v/>
      </c>
    </row>
    <row r="57">
      <c r="A57" s="10" t="inlineStr">
        <is>
          <t>PRECIO RECOMENDADO para tu margen (redondeado a $5.000)</t>
        </is>
      </c>
      <c r="B57" s="15">
        <f>IF(1-B9-B8&lt;=0,"Revisa el margen",ROUNDUP(B35/(B6*(1-B9-B8))/5000,0)*5000)</f>
        <v/>
      </c>
    </row>
    <row r="58">
      <c r="A58" s="4" t="inlineStr">
        <is>
          <t>Diferencia con el precio que cobras hoy</t>
        </is>
      </c>
      <c r="B58" s="8">
        <f>IF(ISNUMBER(B57),B57-B7,"")</f>
        <v/>
      </c>
    </row>
    <row r="59">
      <c r="A59" s="4" t="inlineStr">
        <is>
          <t>Máximo que puedes pagarle al lugar y mantener tu margen</t>
        </is>
      </c>
      <c r="B59" s="8">
        <f>B37*(1-B9-B8)-(B32+B33)</f>
        <v/>
      </c>
      <c r="C59" s="2" t="inlineStr">
        <is>
          <t>(negativo = el precio no alcanza)</t>
        </is>
      </c>
    </row>
    <row r="61">
      <c r="A61" s="3" t="inlineStr">
        <is>
          <t>PUNTO DE EQUILIBRIO</t>
        </is>
      </c>
    </row>
    <row r="62">
      <c r="A62" s="10" t="inlineStr">
        <is>
          <t>Personas necesarias para no perder</t>
        </is>
      </c>
      <c r="B62" s="16">
        <f>IF(B7*(1-B9)-B30*(1+B10)&gt;0,ROUNDUP((B31*(1+B10)+B26)/(B7*(1-B9)-B30*(1+B10)),0),"No alcanza con este precio")</f>
        <v/>
      </c>
    </row>
    <row r="63">
      <c r="A63" s="4" t="inlineStr">
        <is>
          <t>Ingresos necesarios para no perder</t>
        </is>
      </c>
      <c r="B63" s="8">
        <f>IF(ISNUMBER(B62),B62*B7,"")</f>
        <v/>
      </c>
    </row>
    <row r="64">
      <c r="A64" s="4" t="inlineStr">
        <is>
          <t>Aporte de cada cupo a los costos fijos (precio menos su costo variable)</t>
        </is>
      </c>
      <c r="B64" s="8">
        <f>B7*(1-B9)-B30*(1+B10)</f>
        <v/>
      </c>
    </row>
    <row r="65">
      <c r="A65" s="4" t="inlineStr">
        <is>
          <t>Personas por encima (+) o por debajo (−) del equilibrio</t>
        </is>
      </c>
      <c r="B65" s="9">
        <f>IF(ISNUMBER(B62),B6-B62,"")</f>
        <v/>
      </c>
    </row>
    <row r="66">
      <c r="A66" s="4" t="inlineStr">
        <is>
          <t>¿Con tu número de personas cubres costos?</t>
        </is>
      </c>
      <c r="B66" s="13">
        <f>IF(ISNUMBER(B62),IF(B6&gt;=B62,"Sí, cubres costos","No, pierdes dinero"),"")</f>
        <v/>
      </c>
    </row>
    <row r="68">
      <c r="A68" s="3" t="inlineStr">
        <is>
          <t>PRECIO DEL CUPO SEGÚN EL MARGEN QUE QUIERAS</t>
        </is>
      </c>
    </row>
    <row r="69">
      <c r="A69" s="17" t="inlineStr">
        <is>
          <t>Margen</t>
        </is>
      </c>
      <c r="B69" s="17" t="inlineStr">
        <is>
          <t>Precio del cupo</t>
        </is>
      </c>
      <c r="C69" s="17" t="inlineStr">
        <is>
          <t>Ganancia total</t>
        </is>
      </c>
    </row>
    <row r="70">
      <c r="A70" s="18" t="n">
        <v>0.2</v>
      </c>
      <c r="B70" s="8">
        <f>IF(1-B9-A70&lt;=0,"",ROUNDUP(B35/(B6*(1-B9-A70))/5000,0)*5000)</f>
        <v/>
      </c>
      <c r="C70" s="8">
        <f>IF(ISNUMBER(B70),B70*B6*(1-B9)-B35,"")</f>
        <v/>
      </c>
    </row>
    <row r="71">
      <c r="A71" s="18" t="n">
        <v>0.3</v>
      </c>
      <c r="B71" s="8">
        <f>IF(1-B9-A71&lt;=0,"",ROUNDUP(B35/(B6*(1-B9-A71))/5000,0)*5000)</f>
        <v/>
      </c>
      <c r="C71" s="8">
        <f>IF(ISNUMBER(B71),B71*B6*(1-B9)-B35,"")</f>
        <v/>
      </c>
    </row>
    <row r="72">
      <c r="A72" s="18" t="n">
        <v>0.4</v>
      </c>
      <c r="B72" s="8">
        <f>IF(1-B9-A72&lt;=0,"",ROUNDUP(B35/(B6*(1-B9-A72))/5000,0)*5000)</f>
        <v/>
      </c>
      <c r="C72" s="8">
        <f>IF(ISNUMBER(B72),B72*B6*(1-B9)-B35,"")</f>
        <v/>
      </c>
    </row>
    <row r="73">
      <c r="A73" s="18" t="n">
        <v>0.5</v>
      </c>
      <c r="B73" s="8">
        <f>IF(1-B9-A73&lt;=0,"",ROUNDUP(B35/(B6*(1-B9-A73))/5000,0)*5000)</f>
        <v/>
      </c>
      <c r="C73" s="8">
        <f>IF(ISNUMBER(B73),B73*B6*(1-B9)-B35,"")</f>
        <v/>
      </c>
    </row>
    <row r="75">
      <c r="A75" s="3" t="inlineStr">
        <is>
          <t>SI CAMBIA EL NÚMERO DE PERSONAS</t>
        </is>
      </c>
    </row>
    <row r="76">
      <c r="A76" s="17" t="inlineStr">
        <is>
          <t>Personas</t>
        </is>
      </c>
      <c r="B76" s="17" t="inlineStr">
        <is>
          <t>Ingresos</t>
        </is>
      </c>
      <c r="C76" s="17" t="inlineStr">
        <is>
          <t>Costo total</t>
        </is>
      </c>
      <c r="D76" s="17" t="inlineStr">
        <is>
          <t>Ganancia</t>
        </is>
      </c>
      <c r="E76" s="17" t="inlineStr">
        <is>
          <t>Margen</t>
        </is>
      </c>
      <c r="F76" s="17" t="inlineStr">
        <is>
          <t>Precio para tu margen</t>
        </is>
      </c>
      <c r="G76" s="17" t="inlineStr">
        <is>
          <t>¿Cubre costos?</t>
        </is>
      </c>
    </row>
    <row r="77">
      <c r="A77" s="19" t="n">
        <v>6</v>
      </c>
      <c r="B77" s="8">
        <f>B7*A77</f>
        <v/>
      </c>
      <c r="C77" s="8">
        <f>(B31+B30*A77)*(1+B10)+B26</f>
        <v/>
      </c>
      <c r="D77" s="20">
        <f>B77*(1-B9)-C77</f>
        <v/>
      </c>
      <c r="E77" s="14">
        <f>IF(B77&gt;0,D77/B77,0)</f>
        <v/>
      </c>
      <c r="F77" s="8">
        <f>IF(1-B9-B8&lt;=0,"",ROUNDUP(C77/(A77*(1-B9-B8))/5000,0)*5000)</f>
        <v/>
      </c>
      <c r="G77" s="13">
        <f>IF(D77&gt;=0,"Sí","No: pierdes")</f>
        <v/>
      </c>
    </row>
    <row r="78">
      <c r="A78" s="19" t="n">
        <v>8</v>
      </c>
      <c r="B78" s="8">
        <f>B7*A78</f>
        <v/>
      </c>
      <c r="C78" s="8">
        <f>(B31+B30*A78)*(1+B10)+B26</f>
        <v/>
      </c>
      <c r="D78" s="20">
        <f>B78*(1-B9)-C78</f>
        <v/>
      </c>
      <c r="E78" s="14">
        <f>IF(B78&gt;0,D78/B78,0)</f>
        <v/>
      </c>
      <c r="F78" s="8">
        <f>IF(1-B9-B8&lt;=0,"",ROUNDUP(C78/(A78*(1-B9-B8))/5000,0)*5000)</f>
        <v/>
      </c>
      <c r="G78" s="13">
        <f>IF(D78&gt;=0,"Sí","No: pierdes")</f>
        <v/>
      </c>
    </row>
    <row r="79">
      <c r="A79" s="19" t="n">
        <v>10</v>
      </c>
      <c r="B79" s="8">
        <f>B7*A79</f>
        <v/>
      </c>
      <c r="C79" s="8">
        <f>(B31+B30*A79)*(1+B10)+B26</f>
        <v/>
      </c>
      <c r="D79" s="20">
        <f>B79*(1-B9)-C79</f>
        <v/>
      </c>
      <c r="E79" s="14">
        <f>IF(B79&gt;0,D79/B79,0)</f>
        <v/>
      </c>
      <c r="F79" s="8">
        <f>IF(1-B9-B8&lt;=0,"",ROUNDUP(C79/(A79*(1-B9-B8))/5000,0)*5000)</f>
        <v/>
      </c>
      <c r="G79" s="13">
        <f>IF(D79&gt;=0,"Sí","No: pierdes")</f>
        <v/>
      </c>
    </row>
    <row r="80">
      <c r="A80" s="19" t="n">
        <v>12</v>
      </c>
      <c r="B80" s="8">
        <f>B7*A80</f>
        <v/>
      </c>
      <c r="C80" s="8">
        <f>(B31+B30*A80)*(1+B10)+B26</f>
        <v/>
      </c>
      <c r="D80" s="20">
        <f>B80*(1-B9)-C80</f>
        <v/>
      </c>
      <c r="E80" s="14">
        <f>IF(B80&gt;0,D80/B80,0)</f>
        <v/>
      </c>
      <c r="F80" s="8">
        <f>IF(1-B9-B8&lt;=0,"",ROUNDUP(C80/(A80*(1-B9-B8))/5000,0)*5000)</f>
        <v/>
      </c>
      <c r="G80" s="13">
        <f>IF(D80&gt;=0,"Sí","No: pierdes")</f>
        <v/>
      </c>
    </row>
    <row r="81">
      <c r="A81" s="19" t="n">
        <v>15</v>
      </c>
      <c r="B81" s="8">
        <f>B7*A81</f>
        <v/>
      </c>
      <c r="C81" s="8">
        <f>(B31+B30*A81)*(1+B10)+B26</f>
        <v/>
      </c>
      <c r="D81" s="20">
        <f>B81*(1-B9)-C81</f>
        <v/>
      </c>
      <c r="E81" s="14">
        <f>IF(B81&gt;0,D81/B81,0)</f>
        <v/>
      </c>
      <c r="F81" s="8">
        <f>IF(1-B9-B8&lt;=0,"",ROUNDUP(C81/(A81*(1-B9-B8))/5000,0)*5000)</f>
        <v/>
      </c>
      <c r="G81" s="13">
        <f>IF(D81&gt;=0,"Sí","No: pierdes")</f>
        <v/>
      </c>
    </row>
    <row r="83">
      <c r="A83" s="2" t="inlineStr">
        <is>
          <t>Nota: las piezas de barro deben secarse días antes de hornearse; se entregan después. Hay que definir fecha de entrega y quién las recoge del horno.</t>
        </is>
      </c>
    </row>
    <row r="84">
      <c r="A84" s="2" t="inlineStr">
        <is>
          <t>Los datos marcados ESTIMADO no son cotizaciones reales. El pago al lugar se descuenta de tu ganancia y los escenarios lo usan.</t>
        </is>
      </c>
    </row>
  </sheetData>
  <mergeCells count="12">
    <mergeCell ref="A84:G84"/>
    <mergeCell ref="A44:G44"/>
    <mergeCell ref="A61:G61"/>
    <mergeCell ref="A1:G1"/>
    <mergeCell ref="A3:G3"/>
    <mergeCell ref="A55:G55"/>
    <mergeCell ref="A83:G83"/>
    <mergeCell ref="A2:G2"/>
    <mergeCell ref="A28:G28"/>
    <mergeCell ref="A68:G68"/>
    <mergeCell ref="A5:G5"/>
    <mergeCell ref="A75:G75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2026-10-02T17:01:37Z</dcterms:created>
  <dcterms:modified xsi:type="dcterms:W3CDTF">2026-10-02T17:01:37Z</dcterms:modified>
</cp:coreProperties>
</file>