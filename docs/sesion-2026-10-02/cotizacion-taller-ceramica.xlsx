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ller cerámic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0.0%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b val="1"/>
      <color rgb="00FFFFFF"/>
    </font>
    <font>
      <name val="Arial"/>
    </font>
    <font>
      <name val="Arial"/>
      <b val="1"/>
      <color rgb="000000FF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B3A2B"/>
      </patternFill>
    </fill>
    <fill>
      <patternFill patternType="solid">
        <fgColor rgb="00FFFF00"/>
      </patternFill>
    </fill>
    <fill>
      <patternFill patternType="solid">
        <fgColor rgb="00EFE6D5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" fontId="5" fillId="3" borderId="1" pivotButton="0" quotePrefix="0" xfId="0"/>
    <xf numFmtId="164" fontId="5" fillId="3" borderId="1" pivotButton="0" quotePrefix="0" xfId="0"/>
    <xf numFmtId="165" fontId="5" fillId="3" borderId="1" pivotButton="0" quotePrefix="0" xfId="0"/>
    <xf numFmtId="1" fontId="4" fillId="0" borderId="1" pivotButton="0" quotePrefix="0" xfId="0"/>
    <xf numFmtId="164" fontId="4" fillId="0" borderId="1" pivotButton="0" quotePrefix="0" xfId="0"/>
    <xf numFmtId="0" fontId="6" fillId="0" borderId="0" pivotButton="0" quotePrefix="0" xfId="0"/>
    <xf numFmtId="164" fontId="6" fillId="4" borderId="1" pivotButton="0" quotePrefix="0" xfId="0"/>
    <xf numFmtId="165" fontId="6" fillId="4" borderId="1" pivotButton="0" quotePrefix="0" xfId="0"/>
    <xf numFmtId="49" fontId="4" fillId="0" borderId="1" pivotButton="0" quotePrefix="0" xfId="0"/>
    <xf numFmtId="164" fontId="6" fillId="3" borderId="1" pivotButton="0" quotePrefix="0" xfId="0"/>
    <xf numFmtId="0" fontId="6" fillId="4" borderId="1" applyAlignment="1" pivotButton="0" quotePrefix="0" xfId="0">
      <alignment horizontal="center"/>
    </xf>
    <xf numFmtId="165" fontId="5" fillId="3" borderId="1" applyAlignment="1" pivotButton="0" quotePrefix="0" xfId="0">
      <alignment horizontal="center"/>
    </xf>
    <xf numFmtId="1" fontId="5" fillId="3" borderId="1" applyAlignment="1" pivotButton="0" quotePrefix="0" xfId="0">
      <alignment horizontal="center"/>
    </xf>
    <xf numFmtId="164" fontId="6" fillId="0" borderId="1" pivotButton="0" quotePrefix="0" xfId="0"/>
    <xf numFmtId="165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Alado</author>
  </authors>
  <commentList>
    <comment ref="B8" authorId="0" shapeId="0">
      <text>
        <t>Ganancia dividida entre lo que cobras. 40% = de cada $100 cobrados, $40 son ganancia.</t>
      </text>
    </comment>
    <comment ref="B10" authorId="0" shapeId="0">
      <text>
        <t>ESTIMADO. Pon 0% si no quieres colchón.</t>
      </text>
    </comment>
    <comment ref="B12" authorId="0" shapeId="0">
      <text>
        <t>Dato de Sara.</t>
      </text>
    </comment>
    <comment ref="B14" authorId="0" shapeId="0">
      <text>
        <t>Dato de Sara.</t>
      </text>
    </comment>
    <comment ref="B15" authorId="0" shapeId="0">
      <text>
        <t>Dato de Sara.</t>
      </text>
    </comment>
    <comment ref="B16" authorId="0" shapeId="0">
      <text>
        <t>Dato de Sara: taller amigo.</t>
      </text>
    </comment>
    <comment ref="B17" authorId="0" shapeId="0">
      <text>
        <t>ESTIMADO.</t>
      </text>
    </comment>
    <comment ref="B18" authorId="0" shapeId="0">
      <text>
        <t>Dato de Sara.</t>
      </text>
    </comment>
    <comment ref="B19" authorId="0" shapeId="0">
      <text>
        <t>Dato de Sara.</t>
      </text>
    </comment>
    <comment ref="B20" authorId="0" shapeId="0">
      <text>
        <t>ESTIMADO. Son reutilizables: en el próximo taller cuestan menos.</t>
      </text>
    </comment>
    <comment ref="B21" authorId="0" shapeId="0">
      <text>
        <t>ESTIMADO. Reutilizables.</t>
      </text>
    </comment>
    <comment ref="B22" authorId="0" shapeId="0">
      <text>
        <t>ESTIMADO.</t>
      </text>
    </comment>
    <comment ref="B23" authorId="0" shapeId="0">
      <text>
        <t>Invitación, cómo participar, historias y recap. Pon $0 si no se carga al taller.</t>
      </text>
    </comment>
    <comment ref="B24" authorId="0" shapeId="0">
      <text>
        <t>Lo que se acuerde con el restaurante. Pon $0 si no hay pago.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58" customWidth="1" min="1" max="1"/>
    <col width="17" customWidth="1" min="2" max="2"/>
    <col width="17" customWidth="1" min="3" max="3"/>
    <col width="17" customWidth="1" min="4" max="4"/>
    <col width="14" customWidth="1" min="5" max="5"/>
    <col width="22" customWidth="1" min="6" max="6"/>
  </cols>
  <sheetData>
    <row r="1">
      <c r="A1" s="1" t="inlineStr">
        <is>
          <t>Taller de pintura en cerámica · precio del cupo, margen y ganancia</t>
        </is>
      </c>
    </row>
    <row r="2">
      <c r="A2" s="2" t="inlineStr">
        <is>
          <t>17 de octubre · en restaurante (ellos ponen lugar, aperitivos y vino) · esmalte + quema</t>
        </is>
      </c>
    </row>
    <row r="3">
      <c r="A3" s="2" t="inlineStr">
        <is>
          <t>Edita solo las celdas AMARILLAS. Todo lo demás se calcula solo.</t>
        </is>
      </c>
    </row>
    <row r="5">
      <c r="A5" s="3" t="inlineStr">
        <is>
          <t>EDITA ESTO</t>
        </is>
      </c>
    </row>
    <row r="6">
      <c r="A6" s="4" t="inlineStr">
        <is>
          <t>Nº de personas</t>
        </is>
      </c>
      <c r="B6" s="5" t="n">
        <v>11</v>
      </c>
    </row>
    <row r="7">
      <c r="A7" s="4" t="inlineStr">
        <is>
          <t>Precio del cupo (lo que cobras)</t>
        </is>
      </c>
      <c r="B7" s="6" t="n">
        <v>200000</v>
      </c>
    </row>
    <row r="8">
      <c r="A8" s="4" t="inlineStr">
        <is>
          <t>Margen de ganancia que quieres (sobre ventas)</t>
        </is>
      </c>
      <c r="B8" s="7" t="n">
        <v>0.4</v>
      </c>
    </row>
    <row r="9">
      <c r="A9" s="4" t="inlineStr">
        <is>
          <t>Comisión de pago online (0% si es transferencia)</t>
        </is>
      </c>
      <c r="B9" s="7" t="n">
        <v>0</v>
      </c>
    </row>
    <row r="10">
      <c r="A10" s="4" t="inlineStr">
        <is>
          <t>Imprevistos (% de los costos)</t>
        </is>
      </c>
      <c r="B10" s="7" t="n">
        <v>0.05</v>
      </c>
    </row>
    <row r="11">
      <c r="A11" s="4" t="inlineStr">
        <is>
          <t>Pocillos por persona (cantidad)</t>
        </is>
      </c>
      <c r="B11" s="5" t="n">
        <v>4</v>
      </c>
    </row>
    <row r="12">
      <c r="A12" s="4" t="inlineStr">
        <is>
          <t>Precio de 1 pocillo</t>
        </is>
      </c>
      <c r="B12" s="6" t="n">
        <v>3200</v>
      </c>
    </row>
    <row r="13">
      <c r="A13" s="4" t="inlineStr">
        <is>
          <t>Platos por persona (cantidad)</t>
        </is>
      </c>
      <c r="B13" s="5" t="n">
        <v>4</v>
      </c>
    </row>
    <row r="14">
      <c r="A14" s="4" t="inlineStr">
        <is>
          <t>Precio de 1 plato</t>
        </is>
      </c>
      <c r="B14" s="6" t="n">
        <v>2200</v>
      </c>
    </row>
    <row r="15">
      <c r="A15" s="4" t="inlineStr">
        <is>
          <t>Pigmentos (por persona)</t>
        </is>
      </c>
      <c r="B15" s="6" t="n">
        <v>6000</v>
      </c>
    </row>
    <row r="16">
      <c r="A16" s="4" t="inlineStr">
        <is>
          <t>Quema (por pieza)</t>
        </is>
      </c>
      <c r="B16" s="6" t="n">
        <v>3000</v>
      </c>
    </row>
    <row r="17">
      <c r="A17" s="4" t="inlineStr">
        <is>
          <t>Empaque (por persona)</t>
        </is>
      </c>
      <c r="B17" s="6" t="n">
        <v>2000</v>
      </c>
    </row>
    <row r="18">
      <c r="A18" s="4" t="inlineStr">
        <is>
          <t>Lizeth · horas</t>
        </is>
      </c>
      <c r="B18" s="5" t="n">
        <v>5</v>
      </c>
    </row>
    <row r="19">
      <c r="A19" s="4" t="inlineStr">
        <is>
          <t>Lizeth · valor por hora</t>
        </is>
      </c>
      <c r="B19" s="6" t="n">
        <v>9000</v>
      </c>
    </row>
    <row r="20">
      <c r="A20" s="4" t="inlineStr">
        <is>
          <t>Pinceles, esponjas y materiales (total)</t>
        </is>
      </c>
      <c r="B20" s="6" t="n">
        <v>200000</v>
      </c>
    </row>
    <row r="21">
      <c r="A21" s="4" t="inlineStr">
        <is>
          <t>Delantales (total)</t>
        </is>
      </c>
      <c r="B21" s="6" t="n">
        <v>120000</v>
      </c>
    </row>
    <row r="22">
      <c r="A22" s="4" t="inlineStr">
        <is>
          <t>Otros fijos: transporte, flores, promoción (total)</t>
        </is>
      </c>
      <c r="B22" s="6" t="n">
        <v>190000</v>
      </c>
    </row>
    <row r="23">
      <c r="A23" s="4" t="inlineStr">
        <is>
          <t>Contenido del taller (4 piezas de Sara)</t>
        </is>
      </c>
      <c r="B23" s="6" t="n">
        <v>690000</v>
      </c>
    </row>
    <row r="24">
      <c r="A24" s="4" t="inlineStr">
        <is>
          <t>Pago al restaurante (total)</t>
        </is>
      </c>
      <c r="B24" s="6" t="n">
        <v>0</v>
      </c>
    </row>
    <row r="26">
      <c r="A26" s="3" t="inlineStr">
        <is>
          <t>RESULTADO</t>
        </is>
      </c>
    </row>
    <row r="27">
      <c r="A27" s="4" t="inlineStr">
        <is>
          <t>Piezas por persona</t>
        </is>
      </c>
      <c r="B27" s="8">
        <f>B11+B13</f>
        <v/>
      </c>
    </row>
    <row r="28">
      <c r="A28" s="4" t="inlineStr">
        <is>
          <t>Costo variable por persona (cerámica, pigmentos, quema, empaque)</t>
        </is>
      </c>
      <c r="B28" s="9">
        <f>B11*B12+B13*B14+B15+(B11+B13)*B16+B17</f>
        <v/>
      </c>
    </row>
    <row r="29">
      <c r="A29" s="4" t="inlineStr">
        <is>
          <t>Costos fijos (Lizeth, materiales, delantales, otros y contenido)</t>
        </is>
      </c>
      <c r="B29" s="9">
        <f>B18*B19+B20+B21+B22+B23</f>
        <v/>
      </c>
    </row>
    <row r="30">
      <c r="A30" s="4" t="inlineStr">
        <is>
          <t>Costos base (fijos + variables × personas)</t>
        </is>
      </c>
      <c r="B30" s="9">
        <f>B29+B28*B6</f>
        <v/>
      </c>
    </row>
    <row r="31">
      <c r="A31" s="4" t="inlineStr">
        <is>
          <t>Imprevistos</t>
        </is>
      </c>
      <c r="B31" s="9">
        <f>B30*B10</f>
        <v/>
      </c>
    </row>
    <row r="32">
      <c r="A32" s="4" t="inlineStr">
        <is>
          <t>Pago al restaurante</t>
        </is>
      </c>
      <c r="B32" s="9">
        <f>B24</f>
        <v/>
      </c>
    </row>
    <row r="33">
      <c r="A33" s="10" t="inlineStr">
        <is>
          <t>COSTO TOTAL del taller</t>
        </is>
      </c>
      <c r="B33" s="11">
        <f>B30+B31+B32</f>
        <v/>
      </c>
    </row>
    <row r="34">
      <c r="A34" s="4" t="inlineStr">
        <is>
          <t>Costo por persona</t>
        </is>
      </c>
      <c r="B34" s="9">
        <f>B33/B6</f>
        <v/>
      </c>
    </row>
    <row r="35">
      <c r="A35" s="4" t="inlineStr">
        <is>
          <t>Ingresos por cupos (precio × personas)</t>
        </is>
      </c>
      <c r="B35" s="9">
        <f>B7*B6</f>
        <v/>
      </c>
    </row>
    <row r="36">
      <c r="A36" s="4" t="inlineStr">
        <is>
          <t>Comisión de pago online</t>
        </is>
      </c>
      <c r="B36" s="9">
        <f>B35*B9</f>
        <v/>
      </c>
    </row>
    <row r="37">
      <c r="A37" s="10" t="inlineStr">
        <is>
          <t>GANANCIA</t>
        </is>
      </c>
      <c r="B37" s="11">
        <f>B35-B36-B33</f>
        <v/>
      </c>
    </row>
    <row r="38">
      <c r="A38" s="10" t="inlineStr">
        <is>
          <t>MARGEN real (ganancia ÷ ingresos)</t>
        </is>
      </c>
      <c r="B38" s="12">
        <f>IF(B35&gt;0,B37/B35,0)</f>
        <v/>
      </c>
    </row>
    <row r="39">
      <c r="A39" s="4" t="inlineStr">
        <is>
          <t>Ganancia por persona</t>
        </is>
      </c>
      <c r="B39" s="9">
        <f>B37/B6</f>
        <v/>
      </c>
    </row>
    <row r="40">
      <c r="A40" s="4" t="inlineStr">
        <is>
          <t>¿Cumple el margen que quieres?</t>
        </is>
      </c>
      <c r="B40" s="13">
        <f>IF(B38&gt;=B8,"Sí, cumple","No: está por debajo")</f>
        <v/>
      </c>
    </row>
    <row r="42">
      <c r="A42" s="3" t="inlineStr">
        <is>
          <t>CUÁNTO DEBE VALER EL CUPO</t>
        </is>
      </c>
    </row>
    <row r="43">
      <c r="A43" s="4" t="inlineStr">
        <is>
          <t>Precio mínimo (no pierdes ni ganas)</t>
        </is>
      </c>
      <c r="B43" s="9">
        <f>B33/(B6*(1-B9))</f>
        <v/>
      </c>
    </row>
    <row r="44">
      <c r="A44" s="10" t="inlineStr">
        <is>
          <t>PRECIO RECOMENDADO para tu margen (redondeado a $5.000)</t>
        </is>
      </c>
      <c r="B44" s="14">
        <f>IF(1-B9-B8&lt;=0,"Revisa el margen",ROUNDUP(B33/(B6*(1-B9-B8))/5000,0)*5000)</f>
        <v/>
      </c>
    </row>
    <row r="45">
      <c r="A45" s="4" t="inlineStr">
        <is>
          <t>Diferencia con el precio que cobras hoy</t>
        </is>
      </c>
      <c r="B45" s="9">
        <f>IF(ISNUMBER(B44),B44-B7,"")</f>
        <v/>
      </c>
    </row>
    <row r="46">
      <c r="A46" s="4" t="inlineStr">
        <is>
          <t>Punto de equilibrio (personas para no perder)</t>
        </is>
      </c>
      <c r="B46" s="8">
        <f>IF(B7*(1-B9)-B28*(1+B10)&gt;0,ROUNDUP((B29*(1+B10)+B24)/(B7*(1-B9)-B28*(1+B10)),0),"No alcanza con este precio")</f>
        <v/>
      </c>
    </row>
    <row r="47">
      <c r="A47" s="4" t="inlineStr">
        <is>
          <t>Máximo que puedes pagar al restaurante y mantener tu margen</t>
        </is>
      </c>
      <c r="B47" s="9">
        <f>B35*(1-B9-B8)-(B30+B31)</f>
        <v/>
      </c>
      <c r="C47" s="2" t="inlineStr">
        <is>
          <t>(negativo = el precio no alcanza)</t>
        </is>
      </c>
    </row>
    <row r="49">
      <c r="A49" s="3" t="inlineStr">
        <is>
          <t>PRECIO DEL CUPO SEGÚN EL MARGEN QUE QUIERAS</t>
        </is>
      </c>
    </row>
    <row r="50">
      <c r="A50" s="15" t="inlineStr">
        <is>
          <t>Margen</t>
        </is>
      </c>
      <c r="B50" s="15" t="inlineStr">
        <is>
          <t>Precio del cupo</t>
        </is>
      </c>
      <c r="C50" s="15" t="inlineStr">
        <is>
          <t>Ganancia total</t>
        </is>
      </c>
    </row>
    <row r="51">
      <c r="A51" s="16" t="n">
        <v>0.2</v>
      </c>
      <c r="B51" s="9">
        <f>IF(1-$B$9-A51&lt;=0,"",ROUNDUP($B$33/($B$6*(1-$B$9-A51))/5000,0)*5000)</f>
        <v/>
      </c>
      <c r="C51" s="9">
        <f>IF(ISNUMBER(B51),B51*$B$6*(1-$B$9)-$B$33,"")</f>
        <v/>
      </c>
    </row>
    <row r="52">
      <c r="A52" s="16" t="n">
        <v>0.3</v>
      </c>
      <c r="B52" s="9">
        <f>IF(1-$B$9-A52&lt;=0,"",ROUNDUP($B$33/($B$6*(1-$B$9-A52))/5000,0)*5000)</f>
        <v/>
      </c>
      <c r="C52" s="9">
        <f>IF(ISNUMBER(B52),B52*$B$6*(1-$B$9)-$B$33,"")</f>
        <v/>
      </c>
    </row>
    <row r="53">
      <c r="A53" s="16" t="n">
        <v>0.4</v>
      </c>
      <c r="B53" s="9">
        <f>IF(1-$B$9-A53&lt;=0,"",ROUNDUP($B$33/($B$6*(1-$B$9-A53))/5000,0)*5000)</f>
        <v/>
      </c>
      <c r="C53" s="9">
        <f>IF(ISNUMBER(B53),B53*$B$6*(1-$B$9)-$B$33,"")</f>
        <v/>
      </c>
    </row>
    <row r="54">
      <c r="A54" s="16" t="n">
        <v>0.5</v>
      </c>
      <c r="B54" s="9">
        <f>IF(1-$B$9-A54&lt;=0,"",ROUNDUP($B$33/($B$6*(1-$B$9-A54))/5000,0)*5000)</f>
        <v/>
      </c>
      <c r="C54" s="9">
        <f>IF(ISNUMBER(B54),B54*$B$6*(1-$B$9)-$B$33,"")</f>
        <v/>
      </c>
    </row>
    <row r="56">
      <c r="A56" s="3" t="inlineStr">
        <is>
          <t>SI CAMBIA EL NÚMERO DE PERSONAS</t>
        </is>
      </c>
    </row>
    <row r="57">
      <c r="A57" s="15" t="inlineStr">
        <is>
          <t>Personas</t>
        </is>
      </c>
      <c r="B57" s="15" t="inlineStr">
        <is>
          <t>Ingresos</t>
        </is>
      </c>
      <c r="C57" s="15" t="inlineStr">
        <is>
          <t>Costo total</t>
        </is>
      </c>
      <c r="D57" s="15" t="inlineStr">
        <is>
          <t>Ganancia</t>
        </is>
      </c>
      <c r="E57" s="15" t="inlineStr">
        <is>
          <t>Margen</t>
        </is>
      </c>
      <c r="F57" s="15" t="inlineStr">
        <is>
          <t>Precio para tu margen</t>
        </is>
      </c>
    </row>
    <row r="58">
      <c r="A58" s="17" t="n">
        <v>6</v>
      </c>
      <c r="B58" s="9">
        <f>$B$7*A58</f>
        <v/>
      </c>
      <c r="C58" s="9">
        <f>($B$29+$B$28*A58)*(1+$B$10)+$B$24</f>
        <v/>
      </c>
      <c r="D58" s="18">
        <f>B58*(1-$B$9)-C58</f>
        <v/>
      </c>
      <c r="E58" s="19">
        <f>IF(B58&gt;0,D58/B58,0)</f>
        <v/>
      </c>
      <c r="F58" s="9">
        <f>IF(1-$B$9-$B$8&lt;=0,"",ROUNDUP(C58/(A58*(1-$B$9-$B$8))/5000,0)*5000)</f>
        <v/>
      </c>
    </row>
    <row r="59">
      <c r="A59" s="17" t="n">
        <v>8</v>
      </c>
      <c r="B59" s="9">
        <f>$B$7*A59</f>
        <v/>
      </c>
      <c r="C59" s="9">
        <f>($B$29+$B$28*A59)*(1+$B$10)+$B$24</f>
        <v/>
      </c>
      <c r="D59" s="18">
        <f>B59*(1-$B$9)-C59</f>
        <v/>
      </c>
      <c r="E59" s="19">
        <f>IF(B59&gt;0,D59/B59,0)</f>
        <v/>
      </c>
      <c r="F59" s="9">
        <f>IF(1-$B$9-$B$8&lt;=0,"",ROUNDUP(C59/(A59*(1-$B$9-$B$8))/5000,0)*5000)</f>
        <v/>
      </c>
    </row>
    <row r="60">
      <c r="A60" s="17" t="n">
        <v>10</v>
      </c>
      <c r="B60" s="9">
        <f>$B$7*A60</f>
        <v/>
      </c>
      <c r="C60" s="9">
        <f>($B$29+$B$28*A60)*(1+$B$10)+$B$24</f>
        <v/>
      </c>
      <c r="D60" s="18">
        <f>B60*(1-$B$9)-C60</f>
        <v/>
      </c>
      <c r="E60" s="19">
        <f>IF(B60&gt;0,D60/B60,0)</f>
        <v/>
      </c>
      <c r="F60" s="9">
        <f>IF(1-$B$9-$B$8&lt;=0,"",ROUNDUP(C60/(A60*(1-$B$9-$B$8))/5000,0)*5000)</f>
        <v/>
      </c>
    </row>
    <row r="61">
      <c r="A61" s="17" t="n">
        <v>11</v>
      </c>
      <c r="B61" s="9">
        <f>$B$7*A61</f>
        <v/>
      </c>
      <c r="C61" s="9">
        <f>($B$29+$B$28*A61)*(1+$B$10)+$B$24</f>
        <v/>
      </c>
      <c r="D61" s="18">
        <f>B61*(1-$B$9)-C61</f>
        <v/>
      </c>
      <c r="E61" s="19">
        <f>IF(B61&gt;0,D61/B61,0)</f>
        <v/>
      </c>
      <c r="F61" s="9">
        <f>IF(1-$B$9-$B$8&lt;=0,"",ROUNDUP(C61/(A61*(1-$B$9-$B$8))/5000,0)*5000)</f>
        <v/>
      </c>
    </row>
    <row r="62">
      <c r="A62" s="17" t="n">
        <v>12</v>
      </c>
      <c r="B62" s="9">
        <f>$B$7*A62</f>
        <v/>
      </c>
      <c r="C62" s="9">
        <f>($B$29+$B$28*A62)*(1+$B$10)+$B$24</f>
        <v/>
      </c>
      <c r="D62" s="18">
        <f>B62*(1-$B$9)-C62</f>
        <v/>
      </c>
      <c r="E62" s="19">
        <f>IF(B62&gt;0,D62/B62,0)</f>
        <v/>
      </c>
      <c r="F62" s="9">
        <f>IF(1-$B$9-$B$8&lt;=0,"",ROUNDUP(C62/(A62*(1-$B$9-$B$8))/5000,0)*5000)</f>
        <v/>
      </c>
    </row>
    <row r="64">
      <c r="A64" s="2" t="inlineStr">
        <is>
          <t>Nota: pinceles, esponjas y delantales se compran una vez; en los próximos talleres el costo fijo baja. Los datos marcados ESTIMADO no son cotizaciones reales.</t>
        </is>
      </c>
    </row>
    <row r="65">
      <c r="A65" s="2" t="inlineStr">
        <is>
          <t>El restaurante pone lugar, aperitivos y vino; por eso esos costos no aparecen aquí.</t>
        </is>
      </c>
    </row>
  </sheetData>
  <mergeCells count="10">
    <mergeCell ref="A2:F2"/>
    <mergeCell ref="A49:F49"/>
    <mergeCell ref="A42:F42"/>
    <mergeCell ref="A1:F1"/>
    <mergeCell ref="A5:F5"/>
    <mergeCell ref="A26:F26"/>
    <mergeCell ref="A56:F56"/>
    <mergeCell ref="A3:F3"/>
    <mergeCell ref="A64:F64"/>
    <mergeCell ref="A65:F65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2026-10-02T14:57:53Z</dcterms:created>
  <dcterms:modified xsi:type="dcterms:W3CDTF">2026-10-02T14:57:53Z</dcterms:modified>
</cp:coreProperties>
</file>