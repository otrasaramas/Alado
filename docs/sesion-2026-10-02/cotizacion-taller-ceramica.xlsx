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ller cerámic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Confirmadas al 14 de octubre. Hay 18 cupos.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Precio publicado en los términos.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Ganancia dividida entre lo que cobras. 40% = de cada $100 cobrados, $40 son ganancia.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4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ESTIMADO. Se aplica a compras y pagos, no al contenido. Pon 0% si no quieres colchón.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Según los términos: 50% para separar, el saldo el día del taller.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Dato de Sara.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Dato de Sara.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Por si se dañan o se quiebran. Se redondea hacia arriba.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Dato de Sara: taller amigo. Solo se queman las piezas que se lleva cada persona.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4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Dato de Sara.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ESTIMADO.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Dato de Sara (aproximado).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Si el vino no está incluido en la comida, escribe aquí lo que cueste.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Dato de Sara.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Dato de Sara.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ESTIMADO. Son reutilizables: en el próximo taller cuestan menos.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ESTIMADO para 12 personas. Reutilizables.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ESTIMADO.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Escribe aquí si Montesereno cobra por el espacio.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Pon $0 si no se carga al taller.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5</xdr:rowOff>
              </xdr:from>
              <xdr:to>
                <xdr:col>1</xdr:col>
                <xdr:colOff>-251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<sst xmlns="http://schemas.openxmlformats.org/spreadsheetml/2006/main" count="90" uniqueCount="88">
  <si>
    <t xml:space="preserve">Taller de pintura en cerámica · cuenta del taller</t>
  </si>
  <si>
    <t xml:space="preserve">Sábado 17 de octubre · 2 – 6 p. m. · Montesereno, El Retiro · esmalte + quema · 18 cupos · actualizada el 14 de octubre</t>
  </si>
  <si>
    <t xml:space="preserve">Edita solo las celdas AMARILLAS. Todo lo demás se calcula solo.</t>
  </si>
  <si>
    <t xml:space="preserve">EDITA ESTO</t>
  </si>
  <si>
    <t xml:space="preserve">Personas confirmadas</t>
  </si>
  <si>
    <t xml:space="preserve">Precio del cupo (lo que cobras)</t>
  </si>
  <si>
    <t xml:space="preserve">Margen de ganancia que quieres (sobre ventas)</t>
  </si>
  <si>
    <t xml:space="preserve">Comisión de pago online (0% si es transferencia)</t>
  </si>
  <si>
    <t xml:space="preserve">Imprevistos (% de las compras y pagos)</t>
  </si>
  <si>
    <t xml:space="preserve">Anticipo para separar el cupo</t>
  </si>
  <si>
    <t xml:space="preserve">Pocillos por persona (cantidad)</t>
  </si>
  <si>
    <t xml:space="preserve">Precio de 1 pocillo</t>
  </si>
  <si>
    <t xml:space="preserve">Platos por persona (cantidad)</t>
  </si>
  <si>
    <t xml:space="preserve">Precio de 1 plato</t>
  </si>
  <si>
    <t xml:space="preserve">Piezas de repuesto (% extra que se compra)</t>
  </si>
  <si>
    <t xml:space="preserve">Quema (por pieza)</t>
  </si>
  <si>
    <t xml:space="preserve">Pigmentos (por persona)</t>
  </si>
  <si>
    <t xml:space="preserve">Empaque (por persona)</t>
  </si>
  <si>
    <t xml:space="preserve">Comida en Montesereno (por persona)</t>
  </si>
  <si>
    <t xml:space="preserve">Vino y bebidas, si van aparte de la comida (total)</t>
  </si>
  <si>
    <t xml:space="preserve">Lizeth · horas</t>
  </si>
  <si>
    <t xml:space="preserve">Lizeth · valor por hora</t>
  </si>
  <si>
    <t xml:space="preserve">Pinceles, esponjas y materiales (total)</t>
  </si>
  <si>
    <t xml:space="preserve">Delantales (total)</t>
  </si>
  <si>
    <t xml:space="preserve">Otros fijos: transporte, flores, promoción (total)</t>
  </si>
  <si>
    <t xml:space="preserve">Alquiler del lugar (total)</t>
  </si>
  <si>
    <t xml:space="preserve">Contenido del taller (reel, carrusel, historias y recap)</t>
  </si>
  <si>
    <t xml:space="preserve">PRESUPUESTO: LO QUE HAY QUE COMPRAR Y PAGAR</t>
  </si>
  <si>
    <t xml:space="preserve">Concepto</t>
  </si>
  <si>
    <t xml:space="preserve">Cantidad</t>
  </si>
  <si>
    <t xml:space="preserve">Valor unitario</t>
  </si>
  <si>
    <t xml:space="preserve">Total</t>
  </si>
  <si>
    <t xml:space="preserve">Pocillos (incluye repuesto)</t>
  </si>
  <si>
    <t xml:space="preserve">Platos (incluye repuesto)</t>
  </si>
  <si>
    <t xml:space="preserve">Quema (las piezas que se lleva cada persona)</t>
  </si>
  <si>
    <t xml:space="preserve">Subtotal cerámica y quema</t>
  </si>
  <si>
    <t xml:space="preserve">Pigmentos</t>
  </si>
  <si>
    <t xml:space="preserve">Pinceles, esponjas y materiales</t>
  </si>
  <si>
    <t xml:space="preserve">Delantales</t>
  </si>
  <si>
    <t xml:space="preserve">Empaque</t>
  </si>
  <si>
    <t xml:space="preserve">Subtotal pintura y materiales</t>
  </si>
  <si>
    <t xml:space="preserve">Comida en Montesereno</t>
  </si>
  <si>
    <t xml:space="preserve">Vino y bebidas aparte</t>
  </si>
  <si>
    <t xml:space="preserve">Lizeth (horas)</t>
  </si>
  <si>
    <t xml:space="preserve">Otros: transporte, flores, promoción</t>
  </si>
  <si>
    <t xml:space="preserve">Alquiler del lugar</t>
  </si>
  <si>
    <t xml:space="preserve">Subtotal compras y pagos</t>
  </si>
  <si>
    <t xml:space="preserve">Contenido del taller</t>
  </si>
  <si>
    <t xml:space="preserve">COSTO TOTAL del taller</t>
  </si>
  <si>
    <t xml:space="preserve">RESULTADO</t>
  </si>
  <si>
    <t xml:space="preserve">Piezas que se compran (con repuesto)</t>
  </si>
  <si>
    <t xml:space="preserve">Piezas que se queman</t>
  </si>
  <si>
    <t xml:space="preserve">Ingresos por cupos (precio × personas)</t>
  </si>
  <si>
    <t xml:space="preserve">Comisión de pago online</t>
  </si>
  <si>
    <t xml:space="preserve">Costo por persona</t>
  </si>
  <si>
    <t xml:space="preserve">GANANCIA</t>
  </si>
  <si>
    <t xml:space="preserve">MARGEN real (ganancia ÷ ingresos)</t>
  </si>
  <si>
    <t xml:space="preserve">Ganancia por persona</t>
  </si>
  <si>
    <t xml:space="preserve">¿Cumple el margen que quieres?</t>
  </si>
  <si>
    <t xml:space="preserve">Ganancia si el contenido no se carga al taller</t>
  </si>
  <si>
    <t xml:space="preserve">Margen si el contenido no se carga al taller</t>
  </si>
  <si>
    <t xml:space="preserve">PLATA QUE ENTRA</t>
  </si>
  <si>
    <t xml:space="preserve">Anticipo por persona</t>
  </si>
  <si>
    <t xml:space="preserve">Anticipos (total)</t>
  </si>
  <si>
    <t xml:space="preserve">Saldo por cobrar el día del taller</t>
  </si>
  <si>
    <t xml:space="preserve">CUÁNTO DEBE VALER EL CUPO</t>
  </si>
  <si>
    <t xml:space="preserve">Precio mínimo (no pierdes ni ganas)</t>
  </si>
  <si>
    <t xml:space="preserve">PRECIO RECOMENDADO para tu margen (redondeado a $5.000)</t>
  </si>
  <si>
    <t xml:space="preserve">Diferencia con el precio que cobras hoy</t>
  </si>
  <si>
    <t xml:space="preserve">PUNTO DE EQUILIBRIO</t>
  </si>
  <si>
    <t xml:space="preserve">Costo variable por persona (cerámica, quema, pintura, comida)</t>
  </si>
  <si>
    <t xml:space="preserve">Costos fijos (no cambian con el número de personas)</t>
  </si>
  <si>
    <t xml:space="preserve">Aporte de cada cupo a los costos fijos</t>
  </si>
  <si>
    <t xml:space="preserve">Personas necesarias para no perder</t>
  </si>
  <si>
    <t xml:space="preserve">Personas por encima (+) o por debajo (−) del equilibrio</t>
  </si>
  <si>
    <t xml:space="preserve">PRECIO DEL CUPO SEGÚN EL MARGEN QUE QUIERAS</t>
  </si>
  <si>
    <t xml:space="preserve">Margen</t>
  </si>
  <si>
    <t xml:space="preserve">Precio del cupo</t>
  </si>
  <si>
    <t xml:space="preserve">Ganancia total</t>
  </si>
  <si>
    <t xml:space="preserve">SI CAMBIA EL NÚMERO DE PERSONAS</t>
  </si>
  <si>
    <t xml:space="preserve">Personas</t>
  </si>
  <si>
    <t xml:space="preserve">Ingresos</t>
  </si>
  <si>
    <t xml:space="preserve">Costo total</t>
  </si>
  <si>
    <t xml:space="preserve">Ganancia</t>
  </si>
  <si>
    <t xml:space="preserve">Precio para tu margen</t>
  </si>
  <si>
    <t xml:space="preserve">¿Cubre costos?</t>
  </si>
  <si>
    <t xml:space="preserve">Repuestos: se compra un % extra de pocillos y platos por si se dañan o se quiebran; solo se queman las piezas que se lleva cada persona.</t>
  </si>
  <si>
    <t xml:space="preserve">Pinceles, esponjas y delantales se compran una vez; en los próximos talleres el costo fijo baja. Los datos marcados ESTIMADO no son cotizaciones reales.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</si>
</sst>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\$#,##0"/>
    <numFmt numFmtId="167" formatCode="0.0%"/>
    <numFmt numFmtId="168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B3A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EFE6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FE6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3A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20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2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2</v>
      </c>
      <c r="B3" s="2"/>
      <c r="C3" s="2"/>
      <c r="D3" s="2"/>
      <c r="E3" s="2"/>
      <c r="F3" s="2"/>
      <c r="G3" s="2"/>
    </row>
    <row r="5" customFormat="false" ht="15" hidden="false" customHeight="false" outlineLevel="0" collapsed="false">
      <c r="A5" s="3" t="s">
        <v>3</v>
      </c>
      <c r="B5" s="3"/>
      <c r="C5" s="3"/>
      <c r="D5" s="3"/>
      <c r="E5" s="3"/>
      <c r="F5" s="3"/>
      <c r="G5" s="3"/>
    </row>
    <row r="6" customFormat="false" ht="15" hidden="false" customHeight="false" outlineLevel="0" collapsed="false">
      <c r="A6" s="4" t="s">
        <v>4</v>
      </c>
      <c r="B6" s="5" t="n">
        <v>15</v>
      </c>
    </row>
    <row r="7" customFormat="false" ht="15" hidden="false" customHeight="false" outlineLevel="0" collapsed="false">
      <c r="A7" s="4" t="s">
        <v>5</v>
      </c>
      <c r="B7" s="6" t="n">
        <v>230000</v>
      </c>
    </row>
    <row r="8" customFormat="false" ht="15" hidden="false" customHeight="false" outlineLevel="0" collapsed="false">
      <c r="A8" s="4" t="s">
        <v>6</v>
      </c>
      <c r="B8" s="7" t="n">
        <v>0.4</v>
      </c>
    </row>
    <row r="9" customFormat="false" ht="15" hidden="false" customHeight="false" outlineLevel="0" collapsed="false">
      <c r="A9" s="4" t="s">
        <v>7</v>
      </c>
      <c r="B9" s="7" t="n">
        <v>0</v>
      </c>
    </row>
    <row r="10" customFormat="false" ht="15" hidden="false" customHeight="false" outlineLevel="0" collapsed="false">
      <c r="A10" s="4" t="s">
        <v>8</v>
      </c>
      <c r="B10" s="7" t="n">
        <v>0.05</v>
      </c>
    </row>
    <row r="11" customFormat="false" ht="15" hidden="false" customHeight="false" outlineLevel="0" collapsed="false">
      <c r="A11" s="4" t="s">
        <v>9</v>
      </c>
      <c r="B11" s="7" t="n">
        <v>0.5</v>
      </c>
    </row>
    <row r="12" customFormat="false" ht="15" hidden="false" customHeight="false" outlineLevel="0" collapsed="false">
      <c r="A12" s="4" t="s">
        <v>10</v>
      </c>
      <c r="B12" s="5" t="n">
        <v>4</v>
      </c>
    </row>
    <row r="13" customFormat="false" ht="15" hidden="false" customHeight="false" outlineLevel="0" collapsed="false">
      <c r="A13" s="4" t="s">
        <v>11</v>
      </c>
      <c r="B13" s="6" t="n">
        <v>3200</v>
      </c>
    </row>
    <row r="14" customFormat="false" ht="15" hidden="false" customHeight="false" outlineLevel="0" collapsed="false">
      <c r="A14" s="4" t="s">
        <v>12</v>
      </c>
      <c r="B14" s="5" t="n">
        <v>4</v>
      </c>
    </row>
    <row r="15" customFormat="false" ht="15" hidden="false" customHeight="false" outlineLevel="0" collapsed="false">
      <c r="A15" s="4" t="s">
        <v>13</v>
      </c>
      <c r="B15" s="6" t="n">
        <v>2200</v>
      </c>
    </row>
    <row r="16" customFormat="false" ht="15" hidden="false" customHeight="false" outlineLevel="0" collapsed="false">
      <c r="A16" s="4" t="s">
        <v>14</v>
      </c>
      <c r="B16" s="7" t="n">
        <v>0.2</v>
      </c>
    </row>
    <row r="17" customFormat="false" ht="15" hidden="false" customHeight="false" outlineLevel="0" collapsed="false">
      <c r="A17" s="4" t="s">
        <v>15</v>
      </c>
      <c r="B17" s="6" t="n">
        <v>3000</v>
      </c>
    </row>
    <row r="18" customFormat="false" ht="15" hidden="false" customHeight="false" outlineLevel="0" collapsed="false">
      <c r="A18" s="4" t="s">
        <v>16</v>
      </c>
      <c r="B18" s="6" t="n">
        <v>6000</v>
      </c>
    </row>
    <row r="19" customFormat="false" ht="15" hidden="false" customHeight="false" outlineLevel="0" collapsed="false">
      <c r="A19" s="4" t="s">
        <v>17</v>
      </c>
      <c r="B19" s="6" t="n">
        <v>2000</v>
      </c>
    </row>
    <row r="20" customFormat="false" ht="15" hidden="false" customHeight="false" outlineLevel="0" collapsed="false">
      <c r="A20" s="4" t="s">
        <v>18</v>
      </c>
      <c r="B20" s="6" t="n">
        <v>16000</v>
      </c>
    </row>
    <row r="21" customFormat="false" ht="15" hidden="false" customHeight="false" outlineLevel="0" collapsed="false">
      <c r="A21" s="4" t="s">
        <v>19</v>
      </c>
      <c r="B21" s="6" t="n">
        <v>0</v>
      </c>
    </row>
    <row r="22" customFormat="false" ht="15" hidden="false" customHeight="false" outlineLevel="0" collapsed="false">
      <c r="A22" s="4" t="s">
        <v>20</v>
      </c>
      <c r="B22" s="5" t="n">
        <v>5</v>
      </c>
    </row>
    <row r="23" customFormat="false" ht="15" hidden="false" customHeight="false" outlineLevel="0" collapsed="false">
      <c r="A23" s="4" t="s">
        <v>21</v>
      </c>
      <c r="B23" s="6" t="n">
        <v>9000</v>
      </c>
    </row>
    <row r="24" customFormat="false" ht="15" hidden="false" customHeight="false" outlineLevel="0" collapsed="false">
      <c r="A24" s="4" t="s">
        <v>22</v>
      </c>
      <c r="B24" s="6" t="n">
        <v>200000</v>
      </c>
    </row>
    <row r="25" customFormat="false" ht="15" hidden="false" customHeight="false" outlineLevel="0" collapsed="false">
      <c r="A25" s="4" t="s">
        <v>23</v>
      </c>
      <c r="B25" s="6" t="n">
        <v>120000</v>
      </c>
    </row>
    <row r="26" customFormat="false" ht="15" hidden="false" customHeight="false" outlineLevel="0" collapsed="false">
      <c r="A26" s="4" t="s">
        <v>24</v>
      </c>
      <c r="B26" s="6" t="n">
        <v>190000</v>
      </c>
    </row>
    <row r="27" customFormat="false" ht="15" hidden="false" customHeight="false" outlineLevel="0" collapsed="false">
      <c r="A27" s="4" t="s">
        <v>25</v>
      </c>
      <c r="B27" s="6" t="n">
        <v>0</v>
      </c>
    </row>
    <row r="28" customFormat="false" ht="15" hidden="false" customHeight="false" outlineLevel="0" collapsed="false">
      <c r="A28" s="4" t="s">
        <v>26</v>
      </c>
      <c r="B28" s="6" t="n">
        <v>690000</v>
      </c>
    </row>
    <row r="30" customFormat="false" ht="15" hidden="false" customHeight="false" outlineLevel="0" collapsed="false">
      <c r="A30" s="3" t="s">
        <v>27</v>
      </c>
      <c r="B30" s="3"/>
      <c r="C30" s="3"/>
      <c r="D30" s="3"/>
      <c r="E30" s="3"/>
      <c r="F30" s="3"/>
      <c r="G30" s="3"/>
    </row>
    <row r="31" customFormat="false" ht="15" hidden="false" customHeight="false" outlineLevel="0" collapsed="false">
      <c r="A31" s="8" t="s">
        <v>28</v>
      </c>
      <c r="B31" s="8" t="s">
        <v>29</v>
      </c>
      <c r="C31" s="8" t="s">
        <v>30</v>
      </c>
      <c r="D31" s="8" t="s">
        <v>31</v>
      </c>
    </row>
    <row r="32" customFormat="false" ht="15" hidden="false" customHeight="false" outlineLevel="0" collapsed="false">
      <c r="A32" s="4" t="s">
        <v>32</v>
      </c>
      <c r="B32" s="9" t="n">
        <f aca="false">ROUNDUP(B6*B12*(1+B16),0)</f>
        <v>72</v>
      </c>
      <c r="C32" s="10" t="n">
        <f aca="false">B13</f>
        <v>3200</v>
      </c>
      <c r="D32" s="10" t="n">
        <f aca="false">B32*C32</f>
        <v>230400</v>
      </c>
    </row>
    <row r="33" customFormat="false" ht="15" hidden="false" customHeight="false" outlineLevel="0" collapsed="false">
      <c r="A33" s="4" t="s">
        <v>33</v>
      </c>
      <c r="B33" s="9" t="n">
        <f aca="false">ROUNDUP(B6*B14*(1+B16),0)</f>
        <v>72</v>
      </c>
      <c r="C33" s="10" t="n">
        <f aca="false">B15</f>
        <v>2200</v>
      </c>
      <c r="D33" s="10" t="n">
        <f aca="false">B33*C33</f>
        <v>158400</v>
      </c>
    </row>
    <row r="34" customFormat="false" ht="15" hidden="false" customHeight="false" outlineLevel="0" collapsed="false">
      <c r="A34" s="4" t="s">
        <v>34</v>
      </c>
      <c r="B34" s="9" t="n">
        <f aca="false">B6*(B12+B14)</f>
        <v>120</v>
      </c>
      <c r="C34" s="10" t="n">
        <f aca="false">B17</f>
        <v>3000</v>
      </c>
      <c r="D34" s="10" t="n">
        <f aca="false">B34*C34</f>
        <v>360000</v>
      </c>
    </row>
    <row r="35" customFormat="false" ht="15" hidden="false" customHeight="false" outlineLevel="0" collapsed="false">
      <c r="A35" s="11" t="s">
        <v>35</v>
      </c>
      <c r="D35" s="12" t="n">
        <f aca="false">SUM(D32:D34)</f>
        <v>748800</v>
      </c>
    </row>
    <row r="36" customFormat="false" ht="15" hidden="false" customHeight="false" outlineLevel="0" collapsed="false">
      <c r="A36" s="4" t="s">
        <v>36</v>
      </c>
      <c r="B36" s="9" t="n">
        <f aca="false">B6</f>
        <v>15</v>
      </c>
      <c r="C36" s="10" t="n">
        <f aca="false">B18</f>
        <v>6000</v>
      </c>
      <c r="D36" s="10" t="n">
        <f aca="false">B36*C36</f>
        <v>90000</v>
      </c>
    </row>
    <row r="37" customFormat="false" ht="15" hidden="false" customHeight="false" outlineLevel="0" collapsed="false">
      <c r="A37" s="4" t="s">
        <v>37</v>
      </c>
      <c r="B37" s="9" t="n">
        <v>1</v>
      </c>
      <c r="C37" s="10" t="n">
        <f aca="false">B24</f>
        <v>200000</v>
      </c>
      <c r="D37" s="10" t="n">
        <f aca="false">B37*C37</f>
        <v>200000</v>
      </c>
    </row>
    <row r="38" customFormat="false" ht="15" hidden="false" customHeight="false" outlineLevel="0" collapsed="false">
      <c r="A38" s="4" t="s">
        <v>38</v>
      </c>
      <c r="B38" s="9" t="n">
        <v>1</v>
      </c>
      <c r="C38" s="10" t="n">
        <f aca="false">B25</f>
        <v>120000</v>
      </c>
      <c r="D38" s="10" t="n">
        <f aca="false">B38*C38</f>
        <v>120000</v>
      </c>
    </row>
    <row r="39" customFormat="false" ht="15" hidden="false" customHeight="false" outlineLevel="0" collapsed="false">
      <c r="A39" s="4" t="s">
        <v>39</v>
      </c>
      <c r="B39" s="9" t="n">
        <f aca="false">B6</f>
        <v>15</v>
      </c>
      <c r="C39" s="10" t="n">
        <f aca="false">B19</f>
        <v>2000</v>
      </c>
      <c r="D39" s="10" t="n">
        <f aca="false">B39*C39</f>
        <v>30000</v>
      </c>
    </row>
    <row r="40" customFormat="false" ht="15" hidden="false" customHeight="false" outlineLevel="0" collapsed="false">
      <c r="A40" s="11" t="s">
        <v>40</v>
      </c>
      <c r="D40" s="12" t="n">
        <f aca="false">SUM(D36:D39)</f>
        <v>440000</v>
      </c>
    </row>
    <row r="41" customFormat="false" ht="15" hidden="false" customHeight="false" outlineLevel="0" collapsed="false">
      <c r="A41" s="4" t="s">
        <v>41</v>
      </c>
      <c r="B41" s="9" t="n">
        <f aca="false">B6</f>
        <v>15</v>
      </c>
      <c r="C41" s="10" t="n">
        <f aca="false">B20</f>
        <v>16000</v>
      </c>
      <c r="D41" s="10" t="n">
        <f aca="false">B41*C41</f>
        <v>240000</v>
      </c>
    </row>
    <row r="42" customFormat="false" ht="15" hidden="false" customHeight="false" outlineLevel="0" collapsed="false">
      <c r="A42" s="4" t="s">
        <v>42</v>
      </c>
      <c r="B42" s="9" t="n">
        <v>1</v>
      </c>
      <c r="C42" s="10" t="n">
        <f aca="false">B21</f>
        <v>0</v>
      </c>
      <c r="D42" s="10" t="n">
        <f aca="false">B42*C42</f>
        <v>0</v>
      </c>
    </row>
    <row r="43" customFormat="false" ht="15" hidden="false" customHeight="false" outlineLevel="0" collapsed="false">
      <c r="A43" s="4" t="s">
        <v>43</v>
      </c>
      <c r="B43" s="9" t="n">
        <f aca="false">B22</f>
        <v>5</v>
      </c>
      <c r="C43" s="10" t="n">
        <f aca="false">B23</f>
        <v>9000</v>
      </c>
      <c r="D43" s="10" t="n">
        <f aca="false">B43*C43</f>
        <v>45000</v>
      </c>
    </row>
    <row r="44" customFormat="false" ht="15" hidden="false" customHeight="false" outlineLevel="0" collapsed="false">
      <c r="A44" s="4" t="s">
        <v>44</v>
      </c>
      <c r="B44" s="9" t="n">
        <v>1</v>
      </c>
      <c r="C44" s="10" t="n">
        <f aca="false">B26</f>
        <v>190000</v>
      </c>
      <c r="D44" s="10" t="n">
        <f aca="false">B44*C44</f>
        <v>190000</v>
      </c>
    </row>
    <row r="45" customFormat="false" ht="15" hidden="false" customHeight="false" outlineLevel="0" collapsed="false">
      <c r="A45" s="4" t="s">
        <v>45</v>
      </c>
      <c r="B45" s="9" t="n">
        <v>1</v>
      </c>
      <c r="C45" s="10" t="n">
        <f aca="false">B27</f>
        <v>0</v>
      </c>
      <c r="D45" s="10" t="n">
        <f aca="false">B45*C45</f>
        <v>0</v>
      </c>
    </row>
    <row r="46" customFormat="false" ht="15" hidden="false" customHeight="false" outlineLevel="0" collapsed="false">
      <c r="A46" s="11" t="s">
        <v>46</v>
      </c>
      <c r="D46" s="12" t="n">
        <f aca="false">D35+D40+SUM(D41:D45)</f>
        <v>1663800</v>
      </c>
    </row>
    <row r="47" customFormat="false" ht="15" hidden="false" customHeight="false" outlineLevel="0" collapsed="false">
      <c r="A47" s="4" t="str">
        <f aca="false">"Imprevistos ("&amp;TEXT(B10,"0%")&amp;" de las compras y pagos)"</f>
        <v>Imprevistos (5% de las compras y pagos)</v>
      </c>
      <c r="D47" s="10" t="n">
        <f aca="false">D46*B10</f>
        <v>83190</v>
      </c>
    </row>
    <row r="48" customFormat="false" ht="15" hidden="false" customHeight="false" outlineLevel="0" collapsed="false">
      <c r="A48" s="4" t="s">
        <v>47</v>
      </c>
      <c r="D48" s="10" t="n">
        <f aca="false">B28</f>
        <v>690000</v>
      </c>
    </row>
    <row r="49" customFormat="false" ht="15" hidden="false" customHeight="false" outlineLevel="0" collapsed="false">
      <c r="A49" s="11" t="s">
        <v>48</v>
      </c>
      <c r="D49" s="12" t="n">
        <f aca="false">D46+D47+D48</f>
        <v>2436990</v>
      </c>
    </row>
    <row r="51" customFormat="false" ht="15" hidden="false" customHeight="false" outlineLevel="0" collapsed="false">
      <c r="A51" s="3" t="s">
        <v>49</v>
      </c>
      <c r="B51" s="3"/>
      <c r="C51" s="3"/>
      <c r="D51" s="3"/>
      <c r="E51" s="3"/>
      <c r="F51" s="3"/>
      <c r="G51" s="3"/>
    </row>
    <row r="52" customFormat="false" ht="15" hidden="false" customHeight="false" outlineLevel="0" collapsed="false">
      <c r="A52" s="4" t="s">
        <v>50</v>
      </c>
      <c r="B52" s="9" t="n">
        <f aca="false">B32+B33</f>
        <v>144</v>
      </c>
    </row>
    <row r="53" customFormat="false" ht="15" hidden="false" customHeight="false" outlineLevel="0" collapsed="false">
      <c r="A53" s="4" t="s">
        <v>51</v>
      </c>
      <c r="B53" s="9" t="n">
        <f aca="false">B34</f>
        <v>120</v>
      </c>
    </row>
    <row r="54" customFormat="false" ht="15" hidden="false" customHeight="false" outlineLevel="0" collapsed="false">
      <c r="A54" s="4" t="s">
        <v>52</v>
      </c>
      <c r="B54" s="10" t="n">
        <f aca="false">B7*B6</f>
        <v>3450000</v>
      </c>
    </row>
    <row r="55" customFormat="false" ht="15" hidden="false" customHeight="false" outlineLevel="0" collapsed="false">
      <c r="A55" s="4" t="s">
        <v>53</v>
      </c>
      <c r="B55" s="10" t="n">
        <f aca="false">B54*B9</f>
        <v>0</v>
      </c>
    </row>
    <row r="56" customFormat="false" ht="15" hidden="false" customHeight="false" outlineLevel="0" collapsed="false">
      <c r="A56" s="11" t="s">
        <v>48</v>
      </c>
      <c r="B56" s="12" t="n">
        <f aca="false">D49</f>
        <v>2436990</v>
      </c>
    </row>
    <row r="57" customFormat="false" ht="15" hidden="false" customHeight="false" outlineLevel="0" collapsed="false">
      <c r="A57" s="4" t="s">
        <v>54</v>
      </c>
      <c r="B57" s="10" t="n">
        <f aca="false">B56/B6</f>
        <v>162466</v>
      </c>
    </row>
    <row r="58" customFormat="false" ht="15" hidden="false" customHeight="false" outlineLevel="0" collapsed="false">
      <c r="A58" s="11" t="s">
        <v>55</v>
      </c>
      <c r="B58" s="12" t="n">
        <f aca="false">B54-B55-B56</f>
        <v>1013010</v>
      </c>
    </row>
    <row r="59" customFormat="false" ht="15" hidden="false" customHeight="false" outlineLevel="0" collapsed="false">
      <c r="A59" s="11" t="s">
        <v>56</v>
      </c>
      <c r="B59" s="13" t="n">
        <f aca="false">IF(B54&gt;0,B58/B54,0)</f>
        <v>0.293626086956522</v>
      </c>
    </row>
    <row r="60" customFormat="false" ht="15" hidden="false" customHeight="false" outlineLevel="0" collapsed="false">
      <c r="A60" s="4" t="s">
        <v>57</v>
      </c>
      <c r="B60" s="10" t="n">
        <f aca="false">B58/B6</f>
        <v>67534</v>
      </c>
    </row>
    <row r="61" customFormat="false" ht="15" hidden="false" customHeight="false" outlineLevel="0" collapsed="false">
      <c r="A61" s="4" t="s">
        <v>58</v>
      </c>
      <c r="B61" s="14" t="str">
        <f aca="false">IF(B59&gt;=B8,"Sí, cumple","No: está por debajo")</f>
        <v>No: está por debajo</v>
      </c>
    </row>
    <row r="62" customFormat="false" ht="15" hidden="false" customHeight="false" outlineLevel="0" collapsed="false">
      <c r="A62" s="4" t="s">
        <v>59</v>
      </c>
      <c r="B62" s="10" t="n">
        <f aca="false">B58+D48</f>
        <v>1703010</v>
      </c>
    </row>
    <row r="63" customFormat="false" ht="15" hidden="false" customHeight="false" outlineLevel="0" collapsed="false">
      <c r="A63" s="4" t="s">
        <v>60</v>
      </c>
      <c r="B63" s="15" t="n">
        <f aca="false">IF(B54&gt;0,B62/B54,0)</f>
        <v>0.493626086956522</v>
      </c>
    </row>
    <row r="65" customFormat="false" ht="15" hidden="false" customHeight="false" outlineLevel="0" collapsed="false">
      <c r="A65" s="3" t="s">
        <v>61</v>
      </c>
      <c r="B65" s="3"/>
      <c r="C65" s="3"/>
      <c r="D65" s="3"/>
      <c r="E65" s="3"/>
      <c r="F65" s="3"/>
      <c r="G65" s="3"/>
    </row>
    <row r="66" customFormat="false" ht="15" hidden="false" customHeight="false" outlineLevel="0" collapsed="false">
      <c r="A66" s="4" t="s">
        <v>62</v>
      </c>
      <c r="B66" s="10" t="n">
        <f aca="false">B7*B11</f>
        <v>115000</v>
      </c>
    </row>
    <row r="67" customFormat="false" ht="15" hidden="false" customHeight="false" outlineLevel="0" collapsed="false">
      <c r="A67" s="11" t="s">
        <v>63</v>
      </c>
      <c r="B67" s="12" t="n">
        <f aca="false">B66*B6</f>
        <v>1725000</v>
      </c>
    </row>
    <row r="68" customFormat="false" ht="15" hidden="false" customHeight="false" outlineLevel="0" collapsed="false">
      <c r="A68" s="11" t="s">
        <v>64</v>
      </c>
      <c r="B68" s="12" t="n">
        <f aca="false">B54-B67</f>
        <v>1725000</v>
      </c>
    </row>
    <row r="70" customFormat="false" ht="15" hidden="false" customHeight="false" outlineLevel="0" collapsed="false">
      <c r="A70" s="3" t="s">
        <v>65</v>
      </c>
      <c r="B70" s="3"/>
      <c r="C70" s="3"/>
      <c r="D70" s="3"/>
      <c r="E70" s="3"/>
      <c r="F70" s="3"/>
      <c r="G70" s="3"/>
    </row>
    <row r="71" customFormat="false" ht="15" hidden="false" customHeight="false" outlineLevel="0" collapsed="false">
      <c r="A71" s="4" t="s">
        <v>66</v>
      </c>
      <c r="B71" s="10" t="n">
        <f aca="false">B56/(B6*(1-B9))</f>
        <v>162466</v>
      </c>
    </row>
    <row r="72" customFormat="false" ht="15" hidden="false" customHeight="false" outlineLevel="0" collapsed="false">
      <c r="A72" s="11" t="s">
        <v>67</v>
      </c>
      <c r="B72" s="16" t="n">
        <f aca="false">IF(1-B9-B8&lt;=0,"Revisa el margen",ROUNDUP(B56/(B6*(1-B9-B8))/5000,0)*5000)</f>
        <v>275000</v>
      </c>
    </row>
    <row r="73" customFormat="false" ht="15" hidden="false" customHeight="false" outlineLevel="0" collapsed="false">
      <c r="A73" s="4" t="s">
        <v>68</v>
      </c>
      <c r="B73" s="10" t="n">
        <f aca="false">IF(ISNUMBER(B72),B72-B7,"")</f>
        <v>45000</v>
      </c>
    </row>
    <row r="75" customFormat="false" ht="15" hidden="false" customHeight="false" outlineLevel="0" collapsed="false">
      <c r="A75" s="3" t="s">
        <v>69</v>
      </c>
      <c r="B75" s="3"/>
      <c r="C75" s="3"/>
      <c r="D75" s="3"/>
      <c r="E75" s="3"/>
      <c r="F75" s="3"/>
      <c r="G75" s="3"/>
    </row>
    <row r="76" customFormat="false" ht="15" hidden="false" customHeight="false" outlineLevel="0" collapsed="false">
      <c r="A76" s="4" t="s">
        <v>70</v>
      </c>
      <c r="B76" s="10" t="n">
        <f aca="false">(D32+D33+D34+D36+D39+D41)/B6</f>
        <v>73920</v>
      </c>
    </row>
    <row r="77" customFormat="false" ht="15" hidden="false" customHeight="false" outlineLevel="0" collapsed="false">
      <c r="A77" s="4" t="s">
        <v>71</v>
      </c>
      <c r="B77" s="10" t="n">
        <f aca="false">(D37+D38+D42+D43+D44+D45)</f>
        <v>555000</v>
      </c>
    </row>
    <row r="78" customFormat="false" ht="15" hidden="false" customHeight="false" outlineLevel="0" collapsed="false">
      <c r="A78" s="4" t="s">
        <v>72</v>
      </c>
      <c r="B78" s="10" t="n">
        <f aca="false">B7*(1-B9)-B76*(1+B10)</f>
        <v>152384</v>
      </c>
    </row>
    <row r="79" customFormat="false" ht="15" hidden="false" customHeight="false" outlineLevel="0" collapsed="false">
      <c r="A79" s="11" t="s">
        <v>73</v>
      </c>
      <c r="B79" s="17" t="n">
        <f aca="false">IF(B78&gt;0,ROUNDUP((B77*(1+B10)+D48)/B78,0),"No alcanza con este precio")</f>
        <v>9</v>
      </c>
    </row>
    <row r="80" customFormat="false" ht="15" hidden="false" customHeight="false" outlineLevel="0" collapsed="false">
      <c r="A80" s="4" t="s">
        <v>74</v>
      </c>
      <c r="B80" s="9" t="n">
        <f aca="false">IF(ISNUMBER(B79),B6-B79,"")</f>
        <v>6</v>
      </c>
    </row>
    <row r="82" customFormat="false" ht="15" hidden="false" customHeight="false" outlineLevel="0" collapsed="false">
      <c r="A82" s="3" t="s">
        <v>75</v>
      </c>
      <c r="B82" s="3"/>
      <c r="C82" s="3"/>
      <c r="D82" s="3"/>
      <c r="E82" s="3"/>
      <c r="F82" s="3"/>
      <c r="G82" s="3"/>
    </row>
    <row r="83" customFormat="false" ht="15" hidden="false" customHeight="false" outlineLevel="0" collapsed="false">
      <c r="A83" s="8" t="s">
        <v>76</v>
      </c>
      <c r="B83" s="8" t="s">
        <v>77</v>
      </c>
      <c r="C83" s="8" t="s">
        <v>78</v>
      </c>
    </row>
    <row r="84" customFormat="false" ht="15" hidden="false" customHeight="false" outlineLevel="0" collapsed="false">
      <c r="A84" s="18" t="n">
        <v>0.2</v>
      </c>
      <c r="B84" s="10" t="n">
        <f aca="false">IF(1-$B$9-A84&lt;=0,"",ROUNDUP($B$56/($B$6*(1-$B$9-A84))/5000,0)*5000)</f>
        <v>205000</v>
      </c>
      <c r="C84" s="10" t="n">
        <f aca="false">IF(ISNUMBER(B84),B84*$B$6*(1-$B$9)-$B$56,"")</f>
        <v>638010</v>
      </c>
    </row>
    <row r="85" customFormat="false" ht="15" hidden="false" customHeight="false" outlineLevel="0" collapsed="false">
      <c r="A85" s="18" t="n">
        <v>0.3</v>
      </c>
      <c r="B85" s="10" t="n">
        <f aca="false">IF(1-$B$9-A85&lt;=0,"",ROUNDUP($B$56/($B$6*(1-$B$9-A85))/5000,0)*5000)</f>
        <v>235000</v>
      </c>
      <c r="C85" s="10" t="n">
        <f aca="false">IF(ISNUMBER(B85),B85*$B$6*(1-$B$9)-$B$56,"")</f>
        <v>1088010</v>
      </c>
    </row>
    <row r="86" customFormat="false" ht="15" hidden="false" customHeight="false" outlineLevel="0" collapsed="false">
      <c r="A86" s="18" t="n">
        <v>0.4</v>
      </c>
      <c r="B86" s="10" t="n">
        <f aca="false">IF(1-$B$9-A86&lt;=0,"",ROUNDUP($B$56/($B$6*(1-$B$9-A86))/5000,0)*5000)</f>
        <v>275000</v>
      </c>
      <c r="C86" s="10" t="n">
        <f aca="false">IF(ISNUMBER(B86),B86*$B$6*(1-$B$9)-$B$56,"")</f>
        <v>1688010</v>
      </c>
    </row>
    <row r="87" customFormat="false" ht="15" hidden="false" customHeight="false" outlineLevel="0" collapsed="false">
      <c r="A87" s="18" t="n">
        <v>0.5</v>
      </c>
      <c r="B87" s="10" t="n">
        <f aca="false">IF(1-$B$9-A87&lt;=0,"",ROUNDUP($B$56/($B$6*(1-$B$9-A87))/5000,0)*5000)</f>
        <v>325000</v>
      </c>
      <c r="C87" s="10" t="n">
        <f aca="false">IF(ISNUMBER(B87),B87*$B$6*(1-$B$9)-$B$56,"")</f>
        <v>2438010</v>
      </c>
    </row>
    <row r="89" customFormat="false" ht="15" hidden="false" customHeight="false" outlineLevel="0" collapsed="false">
      <c r="A89" s="3" t="s">
        <v>79</v>
      </c>
      <c r="B89" s="3"/>
      <c r="C89" s="3"/>
      <c r="D89" s="3"/>
      <c r="E89" s="3"/>
      <c r="F89" s="3"/>
      <c r="G89" s="3"/>
    </row>
    <row r="90" customFormat="false" ht="15" hidden="false" customHeight="false" outlineLevel="0" collapsed="false">
      <c r="A90" s="8" t="s">
        <v>80</v>
      </c>
      <c r="B90" s="8" t="s">
        <v>81</v>
      </c>
      <c r="C90" s="8" t="s">
        <v>82</v>
      </c>
      <c r="D90" s="8" t="s">
        <v>83</v>
      </c>
      <c r="E90" s="8" t="s">
        <v>76</v>
      </c>
      <c r="F90" s="8" t="s">
        <v>84</v>
      </c>
      <c r="G90" s="8" t="s">
        <v>85</v>
      </c>
    </row>
    <row r="91" customFormat="false" ht="15" hidden="false" customHeight="false" outlineLevel="0" collapsed="false">
      <c r="A91" s="19" t="n">
        <v>10</v>
      </c>
      <c r="B91" s="10" t="n">
        <f aca="false">$B$7*A91</f>
        <v>2300000</v>
      </c>
      <c r="C91" s="10" t="n">
        <f aca="false">(ROUNDUP(A91*$B$12*(1+$B$16),0)*$B$13+ROUNDUP(A91*$B$14*(1+$B$16),0)*$B$15+A91*($B$12+$B$14)*$B$17+A91*($B$18+$B$19+$B$20)+$B$21+$B$22*$B$23+$B$24+$B$25+$B$26+$B$27)*(1+$B$10)+$B$28</f>
        <v>2048910</v>
      </c>
      <c r="D91" s="10" t="n">
        <f aca="false">B91*(1-$B$9)-C91</f>
        <v>251090</v>
      </c>
      <c r="E91" s="15" t="n">
        <f aca="false">IF(B91&gt;0,D91/B91,0)</f>
        <v>0.109169565217391</v>
      </c>
      <c r="F91" s="10" t="n">
        <f aca="false">IF(1-$B$9-$B$8&lt;=0,"",ROUNDUP(C91/(A91*(1-$B$9-$B$8))/5000,0)*5000)</f>
        <v>345000</v>
      </c>
      <c r="G91" s="14" t="str">
        <f aca="false">IF(D91&gt;=0,"Sí","No: pierdes")</f>
        <v>Sí</v>
      </c>
    </row>
    <row r="92" customFormat="false" ht="15" hidden="false" customHeight="false" outlineLevel="0" collapsed="false">
      <c r="A92" s="19" t="n">
        <v>12</v>
      </c>
      <c r="B92" s="10" t="n">
        <f aca="false">$B$7*A92</f>
        <v>2760000</v>
      </c>
      <c r="C92" s="10" t="n">
        <f aca="false">(ROUNDUP(A92*$B$12*(1+$B$16),0)*$B$13+ROUNDUP(A92*$B$14*(1+$B$16),0)*$B$15+A92*($B$12+$B$14)*$B$17+A92*($B$18+$B$19+$B$20)+$B$21+$B$22*$B$23+$B$24+$B$25+$B$26+$B$27)*(1+$B$10)+$B$28</f>
        <v>2206410</v>
      </c>
      <c r="D92" s="10" t="n">
        <f aca="false">B92*(1-$B$9)-C92</f>
        <v>553590</v>
      </c>
      <c r="E92" s="15" t="n">
        <f aca="false">IF(B92&gt;0,D92/B92,0)</f>
        <v>0.200576086956522</v>
      </c>
      <c r="F92" s="10" t="n">
        <f aca="false">IF(1-$B$9-$B$8&lt;=0,"",ROUNDUP(C92/(A92*(1-$B$9-$B$8))/5000,0)*5000)</f>
        <v>310000</v>
      </c>
      <c r="G92" s="14" t="str">
        <f aca="false">IF(D92&gt;=0,"Sí","No: pierdes")</f>
        <v>Sí</v>
      </c>
    </row>
    <row r="93" customFormat="false" ht="15" hidden="false" customHeight="false" outlineLevel="0" collapsed="false">
      <c r="A93" s="19" t="n">
        <v>15</v>
      </c>
      <c r="B93" s="10" t="n">
        <f aca="false">$B$7*A93</f>
        <v>3450000</v>
      </c>
      <c r="C93" s="10" t="n">
        <f aca="false">(ROUNDUP(A93*$B$12*(1+$B$16),0)*$B$13+ROUNDUP(A93*$B$14*(1+$B$16),0)*$B$15+A93*($B$12+$B$14)*$B$17+A93*($B$18+$B$19+$B$20)+$B$21+$B$22*$B$23+$B$24+$B$25+$B$26+$B$27)*(1+$B$10)+$B$28</f>
        <v>2436990</v>
      </c>
      <c r="D93" s="10" t="n">
        <f aca="false">B93*(1-$B$9)-C93</f>
        <v>1013010</v>
      </c>
      <c r="E93" s="15" t="n">
        <f aca="false">IF(B93&gt;0,D93/B93,0)</f>
        <v>0.293626086956522</v>
      </c>
      <c r="F93" s="10" t="n">
        <f aca="false">IF(1-$B$9-$B$8&lt;=0,"",ROUNDUP(C93/(A93*(1-$B$9-$B$8))/5000,0)*5000)</f>
        <v>275000</v>
      </c>
      <c r="G93" s="14" t="str">
        <f aca="false">IF(D93&gt;=0,"Sí","No: pierdes")</f>
        <v>Sí</v>
      </c>
    </row>
    <row r="94" customFormat="false" ht="15" hidden="false" customHeight="false" outlineLevel="0" collapsed="false">
      <c r="A94" s="19" t="n">
        <v>16</v>
      </c>
      <c r="B94" s="10" t="n">
        <f aca="false">$B$7*A94</f>
        <v>3680000</v>
      </c>
      <c r="C94" s="10" t="n">
        <f aca="false">(ROUNDUP(A94*$B$12*(1+$B$16),0)*$B$13+ROUNDUP(A94*$B$14*(1+$B$16),0)*$B$15+A94*($B$12+$B$14)*$B$17+A94*($B$18+$B$19+$B$20)+$B$21+$B$22*$B$23+$B$24+$B$25+$B$26+$B$27)*(1+$B$10)+$B$28</f>
        <v>2515740</v>
      </c>
      <c r="D94" s="10" t="n">
        <f aca="false">B94*(1-$B$9)-C94</f>
        <v>1164260</v>
      </c>
      <c r="E94" s="15" t="n">
        <f aca="false">IF(B94&gt;0,D94/B94,0)</f>
        <v>0.316375</v>
      </c>
      <c r="F94" s="10" t="n">
        <f aca="false">IF(1-$B$9-$B$8&lt;=0,"",ROUNDUP(C94/(A94*(1-$B$9-$B$8))/5000,0)*5000)</f>
        <v>265000</v>
      </c>
      <c r="G94" s="14" t="str">
        <f aca="false">IF(D94&gt;=0,"Sí","No: pierdes")</f>
        <v>Sí</v>
      </c>
    </row>
    <row r="95" customFormat="false" ht="15" hidden="false" customHeight="false" outlineLevel="0" collapsed="false">
      <c r="A95" s="19" t="n">
        <v>18</v>
      </c>
      <c r="B95" s="10" t="n">
        <f aca="false">$B$7*A95</f>
        <v>4140000</v>
      </c>
      <c r="C95" s="10" t="n">
        <f aca="false">(ROUNDUP(A95*$B$12*(1+$B$16),0)*$B$13+ROUNDUP(A95*$B$14*(1+$B$16),0)*$B$15+A95*($B$12+$B$14)*$B$17+A95*($B$18+$B$19+$B$20)+$B$21+$B$22*$B$23+$B$24+$B$25+$B$26+$B$27)*(1+$B$10)+$B$28</f>
        <v>2673240</v>
      </c>
      <c r="D95" s="10" t="n">
        <f aca="false">B95*(1-$B$9)-C95</f>
        <v>1466760</v>
      </c>
      <c r="E95" s="15" t="n">
        <f aca="false">IF(B95&gt;0,D95/B95,0)</f>
        <v>0.354289855072464</v>
      </c>
      <c r="F95" s="10" t="n">
        <f aca="false">IF(1-$B$9-$B$8&lt;=0,"",ROUNDUP(C95/(A95*(1-$B$9-$B$8))/5000,0)*5000)</f>
        <v>250000</v>
      </c>
      <c r="G95" s="14" t="str">
        <f aca="false">IF(D95&gt;=0,"Sí","No: pierdes")</f>
        <v>Sí</v>
      </c>
    </row>
    <row r="97" customFormat="false" ht="15" hidden="false" customHeight="false" outlineLevel="0" collapsed="false">
      <c r="A97" s="2" t="s">
        <v>86</v>
      </c>
      <c r="B97" s="2"/>
      <c r="C97" s="2"/>
      <c r="D97" s="2"/>
      <c r="E97" s="2"/>
      <c r="F97" s="2"/>
      <c r="G97" s="2"/>
    </row>
    <row r="98" customFormat="false" ht="15" hidden="false" customHeight="false" outlineLevel="0" collapsed="false">
      <c r="A98" s="2" t="s">
        <v>87</v>
      </c>
      <c r="B98" s="2"/>
      <c r="C98" s="2"/>
      <c r="D98" s="2"/>
      <c r="E98" s="2"/>
      <c r="F98" s="2"/>
      <c r="G98" s="2"/>
    </row>
  </sheetData>
  <mergeCells count="13">
    <mergeCell ref="A1:G1"/>
    <mergeCell ref="A2:G2"/>
    <mergeCell ref="A3:G3"/>
    <mergeCell ref="A5:G5"/>
    <mergeCell ref="A30:G30"/>
    <mergeCell ref="A51:G51"/>
    <mergeCell ref="A65:G65"/>
    <mergeCell ref="A70:G70"/>
    <mergeCell ref="A75:G75"/>
    <mergeCell ref="A82:G82"/>
    <mergeCell ref="A89:G89"/>
    <mergeCell ref="A97:G97"/>
    <mergeCell ref="A98:G9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2026-10-14T17:43:29Z</dcterms:created>
  <dc:creator>openpyxl</dc:creator>
  <dc:description/>
  <dc:language>en-US</dc:language>
  <cp:lastModifiedBy/>
  <dcterms:modified xsi:type="dcterms:W3CDTF">2026-10-14T17:43:29Z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