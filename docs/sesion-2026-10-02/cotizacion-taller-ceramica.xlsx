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ller cerám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6" fillId="0" borderId="0" pivotButton="0" quotePrefix="0" xfId="0"/>
    <xf numFmtId="164" fontId="6" fillId="4" borderId="1" pivotButton="0" quotePrefix="0" xfId="0"/>
    <xf numFmtId="16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Taller de pintura en cerámica — Cotización</t>
        </is>
      </c>
    </row>
    <row r="2">
      <c r="A2" s="2" t="inlineStr">
        <is>
          <t>17 de octubre · en restaurante (ellos ponen lugar, aperitivos y vino)</t>
        </is>
      </c>
    </row>
    <row r="4">
      <c r="A4" s="3" t="inlineStr">
        <is>
          <t>✏️  EDITA ESTO (celdas amarillas)</t>
        </is>
      </c>
    </row>
    <row r="5">
      <c r="A5" s="4" t="inlineStr">
        <is>
          <t>Nº de personas</t>
        </is>
      </c>
      <c r="B5" s="5" t="n">
        <v>11</v>
      </c>
    </row>
    <row r="6">
      <c r="A6" s="4" t="inlineStr">
        <is>
          <t>Pocillos por persona (cantidad)</t>
        </is>
      </c>
      <c r="B6" s="5" t="n">
        <v>4</v>
      </c>
    </row>
    <row r="7">
      <c r="A7" s="4" t="inlineStr">
        <is>
          <t>Precio de 1 pocillo</t>
        </is>
      </c>
      <c r="B7" s="6" t="n">
        <v>3200</v>
      </c>
    </row>
    <row r="8">
      <c r="A8" s="4" t="inlineStr">
        <is>
          <t>Platos por persona (cantidad)</t>
        </is>
      </c>
      <c r="B8" s="5" t="n">
        <v>4</v>
      </c>
    </row>
    <row r="9">
      <c r="A9" s="4" t="inlineStr">
        <is>
          <t>Precio de 1 plato</t>
        </is>
      </c>
      <c r="B9" s="6" t="n">
        <v>2200</v>
      </c>
    </row>
    <row r="10">
      <c r="A10" s="4" t="inlineStr">
        <is>
          <t>Pigmentos (por persona)</t>
        </is>
      </c>
      <c r="B10" s="6" t="n">
        <v>6000</v>
      </c>
    </row>
    <row r="11">
      <c r="A11" s="4" t="inlineStr">
        <is>
          <t>Quema (por pieza)</t>
        </is>
      </c>
      <c r="B11" s="6" t="n">
        <v>3000</v>
      </c>
    </row>
    <row r="12">
      <c r="A12" s="4" t="inlineStr">
        <is>
          <t>Empaque (por persona)</t>
        </is>
      </c>
      <c r="B12" s="6" t="n">
        <v>2000</v>
      </c>
    </row>
    <row r="13">
      <c r="A13" s="4" t="inlineStr">
        <is>
          <t>Lizeth — horas</t>
        </is>
      </c>
      <c r="B13" s="5" t="n">
        <v>5</v>
      </c>
    </row>
    <row r="14">
      <c r="A14" s="4" t="inlineStr">
        <is>
          <t>Lizeth — valor por hora</t>
        </is>
      </c>
      <c r="B14" s="6" t="n">
        <v>9000</v>
      </c>
    </row>
    <row r="15">
      <c r="A15" s="4" t="inlineStr">
        <is>
          <t>Pinceles, esponjas y materiales (total)</t>
        </is>
      </c>
      <c r="B15" s="6" t="n">
        <v>200000</v>
      </c>
    </row>
    <row r="16">
      <c r="A16" s="4" t="inlineStr">
        <is>
          <t>Delantales (total)</t>
        </is>
      </c>
      <c r="B16" s="6" t="n">
        <v>120000</v>
      </c>
    </row>
    <row r="17">
      <c r="A17" s="4" t="inlineStr">
        <is>
          <t>Otros fijos: transporte, flores, promo (total)</t>
        </is>
      </c>
      <c r="B17" s="6" t="n">
        <v>190000</v>
      </c>
    </row>
    <row r="18">
      <c r="A18" s="4" t="inlineStr">
        <is>
          <t>PRECIO por persona (lo que cobras)</t>
        </is>
      </c>
      <c r="B18" s="6" t="n">
        <v>200000</v>
      </c>
    </row>
    <row r="19">
      <c r="A19" s="4" t="inlineStr">
        <is>
          <t>Lo que quieres ganar (mínimo)</t>
        </is>
      </c>
      <c r="B19" s="6" t="n">
        <v>600000</v>
      </c>
    </row>
    <row r="21">
      <c r="A21" s="3" t="inlineStr">
        <is>
          <t>📊  RESULTADO (se calcula solo)</t>
        </is>
      </c>
    </row>
    <row r="22">
      <c r="A22" s="4" t="inlineStr">
        <is>
          <t>Piezas por persona</t>
        </is>
      </c>
      <c r="B22" s="7">
        <f>B6+B8</f>
        <v/>
      </c>
    </row>
    <row r="23">
      <c r="A23" s="4" t="inlineStr">
        <is>
          <t>Costo variable por persona</t>
        </is>
      </c>
      <c r="B23" s="8">
        <f>(B6*B7)+(B8*B9)+B10+((B6+B8)*B11)+B12</f>
        <v/>
      </c>
    </row>
    <row r="24">
      <c r="A24" s="4" t="inlineStr">
        <is>
          <t>Costo fijo total</t>
        </is>
      </c>
      <c r="B24" s="8">
        <f>(B13*B14)+B15+B16+B17</f>
        <v/>
      </c>
    </row>
    <row r="25">
      <c r="A25" s="4" t="inlineStr">
        <is>
          <t>Costo total del taller</t>
        </is>
      </c>
      <c r="B25" s="8">
        <f>B24+B23*B5</f>
        <v/>
      </c>
    </row>
    <row r="26">
      <c r="A26" s="4" t="inlineStr">
        <is>
          <t>Ingresos (precio × personas)</t>
        </is>
      </c>
      <c r="B26" s="8">
        <f>B18*B5</f>
        <v/>
      </c>
    </row>
    <row r="27">
      <c r="A27" s="9" t="inlineStr">
        <is>
          <t>Ganancia (antes de pagar al restaurante)</t>
        </is>
      </c>
      <c r="B27" s="10">
        <f>B26-B25</f>
        <v/>
      </c>
    </row>
    <row r="29">
      <c r="A29" s="9" t="inlineStr">
        <is>
          <t>👉 PUEDES PAGARLE AL RESTAURANTE (máx, total)</t>
        </is>
      </c>
      <c r="B29" s="6">
        <f>B27-B19</f>
        <v/>
      </c>
    </row>
    <row r="30">
      <c r="A30" s="4" t="inlineStr">
        <is>
          <t xml:space="preserve">      … por persona</t>
        </is>
      </c>
      <c r="B30" s="11">
        <f>B29/B5</f>
        <v/>
      </c>
    </row>
    <row r="32">
      <c r="A32" s="2" t="inlineStr">
        <is>
          <t>Cambia el PRECIO (fila 18) o lo que quieres ganar (fila 19) y mira cuánto puedes pagarle al restaurante.</t>
        </is>
      </c>
    </row>
    <row r="33">
      <c r="A33" s="2" t="inlineStr">
        <is>
          <t>Nota: pinceles, esponjas y delantales son reutilizables → próximos talleres cuestan menos.</t>
        </is>
      </c>
    </row>
  </sheetData>
  <mergeCells count="6">
    <mergeCell ref="A4:B4"/>
    <mergeCell ref="A21:B21"/>
    <mergeCell ref="A2:B2"/>
    <mergeCell ref="A33:B33"/>
    <mergeCell ref="A32:B3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2026-10-02T03:28:22Z</dcterms:created>
  <dcterms:modified xsi:type="dcterms:W3CDTF">2026-10-02T03:28:22Z</dcterms:modified>
</cp:coreProperties>
</file>