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;($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0000FF"/>
    </font>
  </fonts>
  <fills count="5">
    <fill>
      <patternFill/>
    </fill>
    <fill>
      <patternFill patternType="gray125"/>
    </fill>
    <fill>
      <patternFill patternType="solid">
        <fgColor rgb="001B3A2B"/>
      </patternFill>
    </fill>
    <fill>
      <patternFill patternType="solid">
        <fgColor rgb="00FFFF00"/>
      </patternFill>
    </fill>
    <fill>
      <patternFill patternType="solid">
        <fgColor rgb="00Efe6d5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6" fillId="4" borderId="0" pivotButton="0" quotePrefix="0" xfId="0"/>
    <xf numFmtId="165" fontId="6" fillId="4" borderId="1" pivotButton="0" quotePrefix="0" xfId="0"/>
    <xf numFmtId="0" fontId="6" fillId="0" borderId="0" pivotButton="0" quotePrefix="0" xfId="0"/>
    <xf numFmtId="165" fontId="6" fillId="0" borderId="1" pivotButton="0" quotePrefix="0" xfId="0"/>
    <xf numFmtId="165" fontId="4" fillId="0" borderId="1" pivotButton="0" quotePrefix="0" xfId="0"/>
    <xf numFmtId="0" fontId="6" fillId="3" borderId="0" pivotButton="0" quotePrefix="0" xfId="0"/>
    <xf numFmtId="165" fontId="7" fillId="3" borderId="1" pivotButton="0" quotePrefix="0" xfId="0"/>
    <xf numFmtId="1" fontId="6" fillId="0" borderId="1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Alado</author>
  </authors>
  <commentList>
    <comment ref="B9" authorId="0" shapeId="0">
      <text>
        <t>Markup sobre el costo. 45% es un margen sano para taller-experiencia.</t>
      </text>
    </comment>
    <comment ref="B10" authorId="0" shapeId="0">
      <text>
        <t>Si cobras por link/online (~3–4%). Pon 0% si es transferencia/efectivo.</t>
      </text>
    </comment>
    <comment ref="B14" authorId="0" shapeId="0">
      <text>
        <t>Taza/plato/pieza mediana en blanco.</t>
      </text>
    </comment>
    <comment ref="B15" authorId="0" shapeId="0">
      <text>
        <t>Prorrateado por persona.</t>
      </text>
    </comment>
    <comment ref="B16" authorId="0" shapeId="0">
      <text>
        <t>Cocción (tercerizada o propia).</t>
      </text>
    </comment>
    <comment ref="B18" authorId="0" shapeId="0">
      <text>
        <t>Copa de vino + pasabocas + café.</t>
      </text>
    </comment>
    <comment ref="B24" authorId="0" shapeId="0">
      <text>
        <t>Recomendado para 10–12 personas.</t>
      </text>
    </comment>
    <comment ref="B25" authorId="0" shapeId="0">
      <text>
        <t>Imputa un valor aunque sea propio.</t>
      </text>
    </comment>
    <comment ref="A37" authorId="0" shapeId="0">
      <text>
        <t>Puedes sobrescribir este precio con el que decidas cobrar; los escenarios de abajo lo usan.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16" customWidth="1" min="4" max="4"/>
    <col width="14" customWidth="1" min="5" max="5"/>
  </cols>
  <sheetData>
    <row r="1">
      <c r="A1" s="1" t="inlineStr">
        <is>
          <t>ALADO — Cotización · Taller de pintura en cerámica</t>
        </is>
      </c>
    </row>
    <row r="2">
      <c r="A2" s="2" t="inlineStr">
        <is>
          <t>Esmalte + quema · 17 de octubre · 10–12 cupos · refrigerio con vino</t>
        </is>
      </c>
    </row>
    <row r="3">
      <c r="A3" s="2" t="inlineStr">
        <is>
          <t>Edita solo las celdas AMARILLAS. Los valores son estimados de mercado (Medellín); confírmalos con tus proveedores.</t>
        </is>
      </c>
    </row>
    <row r="5">
      <c r="A5" s="3" t="inlineStr">
        <is>
          <t>PARÁMETROS</t>
        </is>
      </c>
    </row>
    <row r="6">
      <c r="A6" s="4" t="inlineStr">
        <is>
          <t>Cupo mínimo</t>
        </is>
      </c>
      <c r="B6" s="5" t="n">
        <v>10</v>
      </c>
    </row>
    <row r="7">
      <c r="A7" s="4" t="inlineStr">
        <is>
          <t>Cupo estimado</t>
        </is>
      </c>
      <c r="B7" s="5" t="n">
        <v>11</v>
      </c>
    </row>
    <row r="8">
      <c r="A8" s="4" t="inlineStr">
        <is>
          <t>Cupo máximo</t>
        </is>
      </c>
      <c r="B8" s="5" t="n">
        <v>12</v>
      </c>
    </row>
    <row r="9">
      <c r="A9" s="4" t="inlineStr">
        <is>
          <t>Margen de ganancia deseado</t>
        </is>
      </c>
      <c r="B9" s="6" t="n">
        <v>0.45</v>
      </c>
    </row>
    <row r="10">
      <c r="A10" s="4" t="inlineStr">
        <is>
          <t>Comisión pasarela de pago</t>
        </is>
      </c>
      <c r="B10" s="6" t="n">
        <v>0.04</v>
      </c>
    </row>
    <row r="11">
      <c r="A11" s="4" t="inlineStr">
        <is>
          <t>Colchón de imprevistos</t>
        </is>
      </c>
      <c r="B11" s="6" t="n">
        <v>0.1</v>
      </c>
    </row>
    <row r="13">
      <c r="A13" s="3" t="inlineStr">
        <is>
          <t>COSTOS VARIABLES (por persona)</t>
        </is>
      </c>
    </row>
    <row r="14">
      <c r="A14" s="4" t="inlineStr">
        <is>
          <t>Pieza de cerámica (bisque)</t>
        </is>
      </c>
      <c r="B14" s="7" t="n">
        <v>20000</v>
      </c>
    </row>
    <row r="15">
      <c r="A15" s="4" t="inlineStr">
        <is>
          <t>Esmaltes y pinturas</t>
        </is>
      </c>
      <c r="B15" s="7" t="n">
        <v>8000</v>
      </c>
    </row>
    <row r="16">
      <c r="A16" s="4" t="inlineStr">
        <is>
          <t>Quema por pieza</t>
        </is>
      </c>
      <c r="B16" s="7" t="n">
        <v>12000</v>
      </c>
    </row>
    <row r="17">
      <c r="A17" s="4" t="inlineStr">
        <is>
          <t>Delantal + empaque</t>
        </is>
      </c>
      <c r="B17" s="7" t="n">
        <v>3000</v>
      </c>
    </row>
    <row r="18">
      <c r="A18" s="4" t="inlineStr">
        <is>
          <t>Refrigerio con vino + pasabocas</t>
        </is>
      </c>
      <c r="B18" s="7" t="n">
        <v>25000</v>
      </c>
    </row>
    <row r="19">
      <c r="A19" s="4" t="inlineStr">
        <is>
          <t>Tarjeta / kit de bienvenida</t>
        </is>
      </c>
      <c r="B19" s="7" t="n">
        <v>2000</v>
      </c>
    </row>
    <row r="20">
      <c r="A20" s="8" t="inlineStr">
        <is>
          <t>Subtotal variable por persona</t>
        </is>
      </c>
      <c r="B20" s="9">
        <f>SUM(B14:B19)</f>
        <v/>
      </c>
    </row>
    <row r="22">
      <c r="A22" s="3" t="inlineStr">
        <is>
          <t>COSTOS FIJOS (del evento)</t>
        </is>
      </c>
    </row>
    <row r="23">
      <c r="A23" s="4" t="inlineStr">
        <is>
          <t>Honorarios tallerista (dictado + preparación)</t>
        </is>
      </c>
      <c r="B23" s="7" t="n">
        <v>400000</v>
      </c>
    </row>
    <row r="24">
      <c r="A24" s="4" t="inlineStr">
        <is>
          <t>Asistente</t>
        </is>
      </c>
      <c r="B24" s="7" t="n">
        <v>120000</v>
      </c>
    </row>
    <row r="25">
      <c r="A25" s="4" t="inlineStr">
        <is>
          <t>Espacio (uso/alquiler, montaje, limpieza)</t>
        </is>
      </c>
      <c r="B25" s="7" t="n">
        <v>200000</v>
      </c>
    </row>
    <row r="26">
      <c r="A26" s="4" t="inlineStr">
        <is>
          <t>Ambientación (flores, música)</t>
        </is>
      </c>
      <c r="B26" s="7" t="n">
        <v>80000</v>
      </c>
    </row>
    <row r="27">
      <c r="A27" s="4" t="inlineStr">
        <is>
          <t>Diseño y promoción</t>
        </is>
      </c>
      <c r="B27" s="7" t="n">
        <v>100000</v>
      </c>
    </row>
    <row r="28">
      <c r="A28" s="4" t="inlineStr">
        <is>
          <t>Transporte de materiales / piezas a quema</t>
        </is>
      </c>
      <c r="B28" s="7" t="n">
        <v>60000</v>
      </c>
    </row>
    <row r="29">
      <c r="A29" s="10" t="inlineStr">
        <is>
          <t>Subtotal fijos</t>
        </is>
      </c>
      <c r="B29" s="11">
        <f>SUM(B23:B28)</f>
        <v/>
      </c>
    </row>
    <row r="30">
      <c r="A30" s="4" t="inlineStr">
        <is>
          <t>Colchón de imprevistos</t>
        </is>
      </c>
      <c r="B30" s="12">
        <f>B29*B11</f>
        <v/>
      </c>
    </row>
    <row r="31">
      <c r="A31" s="8" t="inlineStr">
        <is>
          <t>Total fijos (con colchón)</t>
        </is>
      </c>
      <c r="B31" s="9">
        <f>B29+B30</f>
        <v/>
      </c>
    </row>
    <row r="33">
      <c r="A33" s="3" t="inlineStr">
        <is>
          <t>CÁLCULO DEL PRECIO</t>
        </is>
      </c>
    </row>
    <row r="34">
      <c r="A34" s="4" t="inlineStr">
        <is>
          <t>Costo por persona (al cupo estimado)</t>
        </is>
      </c>
      <c r="B34" s="12">
        <f>B20+B31/B7</f>
        <v/>
      </c>
    </row>
    <row r="35">
      <c r="A35" s="4" t="inlineStr">
        <is>
          <t>Precio por persona (antes de comisión)</t>
        </is>
      </c>
      <c r="B35" s="12">
        <f>B34/(1-B9)</f>
        <v/>
      </c>
    </row>
    <row r="36">
      <c r="A36" s="4" t="inlineStr">
        <is>
          <t>Precio por persona (cubriendo comisión)</t>
        </is>
      </c>
      <c r="B36" s="12">
        <f>B35/(1-B10)</f>
        <v/>
      </c>
    </row>
    <row r="37">
      <c r="A37" s="13" t="inlineStr">
        <is>
          <t>PRECIO SUGERIDO POR CUPO (redondeado)</t>
        </is>
      </c>
      <c r="B37" s="14">
        <f>ROUND(B36/5000,0)*5000</f>
        <v/>
      </c>
    </row>
    <row r="39">
      <c r="A39" s="3" t="inlineStr">
        <is>
          <t>PUNTO DE EQUILIBRIO Y ESCENARIOS</t>
        </is>
      </c>
    </row>
    <row r="40">
      <c r="A40" s="4" t="inlineStr">
        <is>
          <t>Precio de venta usado</t>
        </is>
      </c>
      <c r="B40" s="12">
        <f>B37</f>
        <v/>
      </c>
    </row>
    <row r="41">
      <c r="A41" s="10" t="inlineStr">
        <is>
          <t>Punto de equilibrio (nº personas)</t>
        </is>
      </c>
      <c r="B41" s="15">
        <f>ROUNDUP(B31/(B40*(1-B10)-B20),0)</f>
        <v/>
      </c>
    </row>
    <row r="43">
      <c r="A43" s="16" t="inlineStr">
        <is>
          <t>Escenario</t>
        </is>
      </c>
      <c r="B43" s="16" t="inlineStr">
        <is>
          <t>Personas</t>
        </is>
      </c>
      <c r="C43" s="16" t="inlineStr">
        <is>
          <t>Ingresos</t>
        </is>
      </c>
      <c r="D43" s="16" t="inlineStr">
        <is>
          <t>Costos totales</t>
        </is>
      </c>
      <c r="E43" s="16" t="inlineStr">
        <is>
          <t>Ganancia</t>
        </is>
      </c>
    </row>
    <row r="44">
      <c r="A44" s="17" t="inlineStr">
        <is>
          <t>Mínimo</t>
        </is>
      </c>
      <c r="B44" s="18">
        <f>B6</f>
        <v/>
      </c>
      <c r="C44" s="12">
        <f>$B$40*B44</f>
        <v/>
      </c>
      <c r="D44" s="12">
        <f>$B$31+$B$20*B44+$B$10*C44</f>
        <v/>
      </c>
      <c r="E44" s="11">
        <f>C44-D44</f>
        <v/>
      </c>
    </row>
    <row r="45">
      <c r="A45" s="17" t="inlineStr">
        <is>
          <t>Estimado</t>
        </is>
      </c>
      <c r="B45" s="18">
        <f>B7</f>
        <v/>
      </c>
      <c r="C45" s="12">
        <f>$B$40*B45</f>
        <v/>
      </c>
      <c r="D45" s="12">
        <f>$B$31+$B$20*B45+$B$10*C45</f>
        <v/>
      </c>
      <c r="E45" s="11">
        <f>C45-D45</f>
        <v/>
      </c>
    </row>
    <row r="46">
      <c r="A46" s="17" t="inlineStr">
        <is>
          <t>Máximo</t>
        </is>
      </c>
      <c r="B46" s="18">
        <f>B8</f>
        <v/>
      </c>
      <c r="C46" s="12">
        <f>$B$40*B46</f>
        <v/>
      </c>
      <c r="D46" s="12">
        <f>$B$31+$B$20*B46+$B$10*C46</f>
        <v/>
      </c>
      <c r="E46" s="11">
        <f>C46-D46</f>
        <v/>
      </c>
    </row>
    <row r="48">
      <c r="A48" s="2" t="inlineStr">
        <is>
          <t>Nota: estimados de mercado de Medellín para taller de cerámica con esmalte+quema y refrigerio. Ajusta cada celda amarilla con tus cifras reales.</t>
        </is>
      </c>
    </row>
  </sheetData>
  <mergeCells count="9">
    <mergeCell ref="A39:E39"/>
    <mergeCell ref="A48:E48"/>
    <mergeCell ref="A2:E2"/>
    <mergeCell ref="A33:E33"/>
    <mergeCell ref="A1:E1"/>
    <mergeCell ref="A5:E5"/>
    <mergeCell ref="A13:E13"/>
    <mergeCell ref="A22:E22"/>
    <mergeCell ref="A3:E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2026-10-02T03:07:10Z</dcterms:created>
  <dcterms:modified xsi:type="dcterms:W3CDTF">2026-10-02T03:07:10Z</dcterms:modified>
</cp:coreProperties>
</file>