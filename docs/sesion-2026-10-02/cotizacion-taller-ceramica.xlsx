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center"/>
    </xf>
    <xf numFmtId="165" fontId="5" fillId="3" borderId="1" pivotButton="0" quotePrefix="0" xfId="0"/>
    <xf numFmtId="165" fontId="4" fillId="0" borderId="1" pivotButton="0" quotePrefix="0" xfId="0"/>
    <xf numFmtId="0" fontId="6" fillId="4" borderId="0" pivotButton="0" quotePrefix="0" xfId="0"/>
    <xf numFmtId="165" fontId="6" fillId="4" borderId="1" pivotButton="0" quotePrefix="0" xfId="0"/>
    <xf numFmtId="0" fontId="6" fillId="0" borderId="0" pivotButton="0" quotePrefix="0" xfId="0"/>
    <xf numFmtId="165" fontId="6" fillId="0" borderId="1" pivotButton="0" quotePrefix="0" xfId="0"/>
    <xf numFmtId="0" fontId="6" fillId="3" borderId="0" pivotButton="0" quotePrefix="0" xfId="0"/>
    <xf numFmtId="165" fontId="7" fillId="3" borderId="1" pivotButton="0" quotePrefix="0" xfId="0"/>
    <xf numFmtId="1" fontId="6" fillId="0" borderId="1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10" authorId="0" shapeId="0">
      <text>
        <t>0% si es transferencia/efectivo.</t>
      </text>
    </comment>
    <comment ref="B20" authorId="0" shapeId="0">
      <text>
        <t>ESTIMADO — confirmar costo real de pigmentos/esmaltes por persona.</t>
      </text>
    </comment>
    <comment ref="B21" authorId="0" shapeId="0">
      <text>
        <t>ESTIMADO — pon $0 si Alado tiene horno propio; o el costo real de cocción del set.</t>
      </text>
    </comment>
    <comment ref="B29" authorId="0" shapeId="0">
      <text>
        <t>Son los fundadores. Pon un valor si quieres imputar su tiempo; 0 si no.</t>
      </text>
    </comment>
    <comment ref="B30" authorId="0" shapeId="0">
      <text>
        <t>ESTIMADO — reutilizable: próximos talleres salen mucho más baratos.</t>
      </text>
    </comment>
    <comment ref="B31" authorId="0" shapeId="0">
      <text>
        <t>ESTIMADO — reutilizables.</t>
      </text>
    </comment>
    <comment ref="B32" authorId="0" shapeId="0">
      <text>
        <t>Definir el trato con el restaurante (¿pone espacio y comida?).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6" customWidth="1" min="4" max="4"/>
    <col width="14" customWidth="1" min="5" max="5"/>
  </cols>
  <sheetData>
    <row r="1">
      <c r="A1" s="1" t="inlineStr">
        <is>
          <t>ALADO — Cotización · Taller de pintura en cerámica</t>
        </is>
      </c>
    </row>
    <row r="2">
      <c r="A2" s="2" t="inlineStr">
        <is>
          <t>Esmalte + quema · 17 de octubre · en restaurante · 10–12 cupos · set de 4 pocillos + 4 platos</t>
        </is>
      </c>
    </row>
    <row r="3">
      <c r="A3" s="2" t="inlineStr">
        <is>
          <t>Edita solo las celdas AMARILLAS. El refrigerio lo maneja el restaurante (no está en este costo).</t>
        </is>
      </c>
    </row>
    <row r="5">
      <c r="A5" s="3" t="inlineStr">
        <is>
          <t>PARÁMETROS</t>
        </is>
      </c>
    </row>
    <row r="6">
      <c r="A6" s="4" t="inlineStr">
        <is>
          <t>Cupo mínimo</t>
        </is>
      </c>
      <c r="B6" s="5" t="n">
        <v>10</v>
      </c>
    </row>
    <row r="7">
      <c r="A7" s="4" t="inlineStr">
        <is>
          <t>Cupo estimado</t>
        </is>
      </c>
      <c r="B7" s="5" t="n">
        <v>11</v>
      </c>
    </row>
    <row r="8">
      <c r="A8" s="4" t="inlineStr">
        <is>
          <t>Cupo máximo</t>
        </is>
      </c>
      <c r="B8" s="5" t="n">
        <v>12</v>
      </c>
    </row>
    <row r="9">
      <c r="A9" s="4" t="inlineStr">
        <is>
          <t>Margen de ganancia deseado</t>
        </is>
      </c>
      <c r="B9" s="6" t="n">
        <v>0.45</v>
      </c>
    </row>
    <row r="10">
      <c r="A10" s="4" t="inlineStr">
        <is>
          <t>Comisión pasarela de pago</t>
        </is>
      </c>
      <c r="B10" s="6" t="n">
        <v>0.04</v>
      </c>
    </row>
    <row r="11">
      <c r="A11" s="4" t="inlineStr">
        <is>
          <t>Colchón de imprevistos</t>
        </is>
      </c>
      <c r="B11" s="6" t="n">
        <v>0.1</v>
      </c>
    </row>
    <row r="13">
      <c r="A13" s="3" t="inlineStr">
        <is>
          <t>SET DE CERÁMICA (lo que pinta cada persona)</t>
        </is>
      </c>
    </row>
    <row r="14">
      <c r="A14" s="7" t="inlineStr">
        <is>
          <t>Concepto</t>
        </is>
      </c>
      <c r="B14" s="8" t="inlineStr">
        <is>
          <t>Cantidad</t>
        </is>
      </c>
      <c r="C14" s="8" t="inlineStr">
        <is>
          <t>Valor unidad</t>
        </is>
      </c>
      <c r="D14" s="8" t="inlineStr">
        <is>
          <t>Total</t>
        </is>
      </c>
    </row>
    <row r="15">
      <c r="A15" s="4" t="inlineStr">
        <is>
          <t>Pocillos</t>
        </is>
      </c>
      <c r="B15" s="5" t="n">
        <v>4</v>
      </c>
      <c r="C15" s="9" t="n">
        <v>3200</v>
      </c>
      <c r="D15" s="10">
        <f>B15*C15</f>
        <v/>
      </c>
    </row>
    <row r="16">
      <c r="A16" s="4" t="inlineStr">
        <is>
          <t>Platos</t>
        </is>
      </c>
      <c r="B16" s="5" t="n">
        <v>4</v>
      </c>
      <c r="C16" s="9" t="n">
        <v>2200</v>
      </c>
      <c r="D16" s="10">
        <f>B16*C16</f>
        <v/>
      </c>
    </row>
    <row r="17">
      <c r="A17" s="11" t="inlineStr">
        <is>
          <t>Subtotal set por persona</t>
        </is>
      </c>
      <c r="D17" s="12">
        <f>SUM(D15:D16)</f>
        <v/>
      </c>
    </row>
    <row r="19">
      <c r="A19" s="3" t="inlineStr">
        <is>
          <t>OTROS COSTOS VARIABLES (por persona)</t>
        </is>
      </c>
    </row>
    <row r="20">
      <c r="A20" s="4" t="inlineStr">
        <is>
          <t>Pigmentos (los pone Alado)</t>
        </is>
      </c>
      <c r="B20" s="9" t="n">
        <v>6000</v>
      </c>
    </row>
    <row r="21">
      <c r="A21" s="4" t="inlineStr">
        <is>
          <t>Quema por set</t>
        </is>
      </c>
      <c r="B21" s="9" t="n">
        <v>8000</v>
      </c>
    </row>
    <row r="22">
      <c r="A22" s="4" t="inlineStr">
        <is>
          <t>Empaque para llevar las piezas</t>
        </is>
      </c>
      <c r="B22" s="9" t="n">
        <v>2000</v>
      </c>
    </row>
    <row r="23">
      <c r="A23" s="11" t="inlineStr">
        <is>
          <t>Subtotal variable por persona</t>
        </is>
      </c>
      <c r="B23" s="12">
        <f>D17+SUM(B20:B22)</f>
        <v/>
      </c>
    </row>
    <row r="25">
      <c r="A25" s="3" t="inlineStr">
        <is>
          <t>COSTOS FIJOS (del evento)</t>
        </is>
      </c>
    </row>
    <row r="26">
      <c r="A26" s="4" t="inlineStr">
        <is>
          <t>Lizeth — horas</t>
        </is>
      </c>
      <c r="B26" s="5" t="n">
        <v>5</v>
      </c>
    </row>
    <row r="27">
      <c r="A27" s="4" t="inlineStr">
        <is>
          <t>Lizeth — valor hora</t>
        </is>
      </c>
      <c r="B27" s="9" t="n">
        <v>9000</v>
      </c>
    </row>
    <row r="28">
      <c r="A28" s="4" t="inlineStr">
        <is>
          <t>Lizeth — subtotal</t>
        </is>
      </c>
      <c r="B28" s="10">
        <f>B26*B27</f>
        <v/>
      </c>
    </row>
    <row r="29">
      <c r="A29" s="4" t="inlineStr">
        <is>
          <t>Andrés + Alejandro (imputado)</t>
        </is>
      </c>
      <c r="B29" s="9" t="n">
        <v>0</v>
      </c>
    </row>
    <row r="30">
      <c r="A30" s="4" t="inlineStr">
        <is>
          <t>Pinceles, esponjas, materiales (compra)</t>
        </is>
      </c>
      <c r="B30" s="9" t="n">
        <v>200000</v>
      </c>
    </row>
    <row r="31">
      <c r="A31" s="4" t="inlineStr">
        <is>
          <t>Delantales (compra)</t>
        </is>
      </c>
      <c r="B31" s="9" t="n">
        <v>120000</v>
      </c>
    </row>
    <row r="32">
      <c r="A32" s="4" t="inlineStr">
        <is>
          <t>Espacio (restaurante)</t>
        </is>
      </c>
      <c r="B32" s="9" t="n">
        <v>0</v>
      </c>
    </row>
    <row r="33">
      <c r="A33" s="4" t="inlineStr">
        <is>
          <t>Ambientación (flores, música)</t>
        </is>
      </c>
      <c r="B33" s="9" t="n">
        <v>50000</v>
      </c>
    </row>
    <row r="34">
      <c r="A34" s="4" t="inlineStr">
        <is>
          <t>Diseño y promoción</t>
        </is>
      </c>
      <c r="B34" s="9" t="n">
        <v>100000</v>
      </c>
    </row>
    <row r="35">
      <c r="A35" s="4" t="inlineStr">
        <is>
          <t>Transporte de materiales</t>
        </is>
      </c>
      <c r="B35" s="9" t="n">
        <v>40000</v>
      </c>
    </row>
    <row r="36">
      <c r="A36" s="13" t="inlineStr">
        <is>
          <t>Subtotal fijos</t>
        </is>
      </c>
      <c r="B36" s="14">
        <f>B28+SUM(B29:B35)</f>
        <v/>
      </c>
    </row>
    <row r="37">
      <c r="A37" s="4" t="inlineStr">
        <is>
          <t>Colchón de imprevistos</t>
        </is>
      </c>
      <c r="B37" s="10">
        <f>B36*B11</f>
        <v/>
      </c>
    </row>
    <row r="38">
      <c r="A38" s="11" t="inlineStr">
        <is>
          <t>Total fijos (con colchón)</t>
        </is>
      </c>
      <c r="B38" s="12">
        <f>B36+B37</f>
        <v/>
      </c>
    </row>
    <row r="40">
      <c r="A40" s="3" t="inlineStr">
        <is>
          <t>CÁLCULO DEL PRECIO</t>
        </is>
      </c>
    </row>
    <row r="41">
      <c r="A41" s="4" t="inlineStr">
        <is>
          <t>Costo por persona (al cupo estimado)</t>
        </is>
      </c>
      <c r="B41" s="10">
        <f>B23+B38/B7</f>
        <v/>
      </c>
    </row>
    <row r="42">
      <c r="A42" s="4" t="inlineStr">
        <is>
          <t>Precio por persona (antes de comisión)</t>
        </is>
      </c>
      <c r="B42" s="10">
        <f>B41/(1-B9)</f>
        <v/>
      </c>
    </row>
    <row r="43">
      <c r="A43" s="4" t="inlineStr">
        <is>
          <t>Precio por persona (cubriendo comisión)</t>
        </is>
      </c>
      <c r="B43" s="10">
        <f>B42/(1-B10)</f>
        <v/>
      </c>
    </row>
    <row r="44">
      <c r="A44" s="15" t="inlineStr">
        <is>
          <t>PRECIO SUGERIDO POR CUPO (redondeado)</t>
        </is>
      </c>
      <c r="B44" s="16">
        <f>ROUND(B43/5000,0)*5000</f>
        <v/>
      </c>
    </row>
    <row r="46">
      <c r="A46" s="3" t="inlineStr">
        <is>
          <t>PUNTO DE EQUILIBRIO Y ESCENARIOS</t>
        </is>
      </c>
    </row>
    <row r="47">
      <c r="A47" s="4" t="inlineStr">
        <is>
          <t>Precio de venta usado</t>
        </is>
      </c>
      <c r="B47" s="10">
        <f>B44</f>
        <v/>
      </c>
    </row>
    <row r="48">
      <c r="A48" s="13" t="inlineStr">
        <is>
          <t>Punto de equilibrio (nº personas)</t>
        </is>
      </c>
      <c r="B48" s="17">
        <f>ROUNDUP(B38/(B47*(1-B10)-B23),0)</f>
        <v/>
      </c>
    </row>
    <row r="50">
      <c r="A50" s="18" t="inlineStr">
        <is>
          <t>Escenario</t>
        </is>
      </c>
      <c r="B50" s="18" t="inlineStr">
        <is>
          <t>Personas</t>
        </is>
      </c>
      <c r="C50" s="18" t="inlineStr">
        <is>
          <t>Ingresos</t>
        </is>
      </c>
      <c r="D50" s="18" t="inlineStr">
        <is>
          <t>Costos totales</t>
        </is>
      </c>
      <c r="E50" s="18" t="inlineStr">
        <is>
          <t>Ganancia</t>
        </is>
      </c>
    </row>
    <row r="51">
      <c r="A51" s="19" t="inlineStr">
        <is>
          <t>Mínimo</t>
        </is>
      </c>
      <c r="B51" s="20">
        <f>B6</f>
        <v/>
      </c>
      <c r="C51" s="10">
        <f>$B$47*B51</f>
        <v/>
      </c>
      <c r="D51" s="10">
        <f>$B$38+$B$23*B51+$B$10*C51</f>
        <v/>
      </c>
      <c r="E51" s="14">
        <f>C51-D51</f>
        <v/>
      </c>
    </row>
    <row r="52">
      <c r="A52" s="19" t="inlineStr">
        <is>
          <t>Estimado</t>
        </is>
      </c>
      <c r="B52" s="20">
        <f>B7</f>
        <v/>
      </c>
      <c r="C52" s="10">
        <f>$B$47*B52</f>
        <v/>
      </c>
      <c r="D52" s="10">
        <f>$B$38+$B$23*B52+$B$10*C52</f>
        <v/>
      </c>
      <c r="E52" s="14">
        <f>C52-D52</f>
        <v/>
      </c>
    </row>
    <row r="53">
      <c r="A53" s="19" t="inlineStr">
        <is>
          <t>Máximo</t>
        </is>
      </c>
      <c r="B53" s="20">
        <f>B8</f>
        <v/>
      </c>
      <c r="C53" s="10">
        <f>$B$47*B53</f>
        <v/>
      </c>
      <c r="D53" s="10">
        <f>$B$38+$B$23*B53+$B$10*C53</f>
        <v/>
      </c>
      <c r="E53" s="14">
        <f>C53-D53</f>
        <v/>
      </c>
    </row>
    <row r="55">
      <c r="A55" s="2" t="inlineStr">
        <is>
          <t>Nota: pinceles, esponjas, materiales y delantales son reutilizables → los próximos talleres cuestan mucho menos. Pigmentos y quema son estimados (confirmar).</t>
        </is>
      </c>
    </row>
  </sheetData>
  <mergeCells count="10">
    <mergeCell ref="A55:E55"/>
    <mergeCell ref="A2:E2"/>
    <mergeCell ref="A25:E25"/>
    <mergeCell ref="A19:E19"/>
    <mergeCell ref="A1:E1"/>
    <mergeCell ref="A5:E5"/>
    <mergeCell ref="A46:E46"/>
    <mergeCell ref="A13:E13"/>
    <mergeCell ref="A40:E40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2026-10-02T03:22:23Z</dcterms:created>
  <dcterms:modified xsi:type="dcterms:W3CDTF">2026-10-02T03:22:23Z</dcterms:modified>
</cp:coreProperties>
</file>