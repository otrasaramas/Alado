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ller cerámic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<sst xmlns="http://schemas.openxmlformats.org/spreadsheetml/2006/main" count="29" uniqueCount="29">
  <si>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Taller de pintura en cerámica · 17 de octubre</t>
  </si>
  <si>
    <t xml:space="preserve">En casa. Cambia las celdas amarillas y lo demás se calcula solo.</t>
  </si>
  <si>
    <t xml:space="preserve">DATOS</t>
  </si>
  <si>
    <t xml:space="preserve">Personas</t>
  </si>
  <si>
    <t xml:space="preserve">Precio del cupo</t>
  </si>
  <si>
    <t xml:space="preserve">Piezas de repuesto</t>
  </si>
  <si>
    <t xml:space="preserve">GASTOS</t>
  </si>
  <si>
    <t xml:space="preserve">Qué</t>
  </si>
  <si>
    <t xml:space="preserve">Cantidad</t>
  </si>
  <si>
    <t xml:space="preserve">Valor</t>
  </si>
  <si>
    <t xml:space="preserve">Total</t>
  </si>
  <si>
    <t xml:space="preserve">Pocillos (con repuesto)</t>
  </si>
  <si>
    <t xml:space="preserve">Platos (con repuesto)</t>
  </si>
  <si>
    <t xml:space="preserve">Quema (8 piezas por persona)</t>
  </si>
  <si>
    <t xml:space="preserve">Pigmentos</t>
  </si>
  <si>
    <t xml:space="preserve">Materiales (lista de compras)</t>
  </si>
  <si>
    <t xml:space="preserve">Delantales</t>
  </si>
  <si>
    <t xml:space="preserve">Empaque</t>
  </si>
  <si>
    <t xml:space="preserve">Comida</t>
  </si>
  <si>
    <t xml:space="preserve">Lizeth (horas)</t>
  </si>
  <si>
    <t xml:space="preserve">Otros: transporte, flores</t>
  </si>
  <si>
    <t xml:space="preserve">Contenido del taller</t>
  </si>
  <si>
    <t xml:space="preserve">TOTAL GASTOS</t>
  </si>
  <si>
    <t xml:space="preserve">CUENTA</t>
  </si>
  <si>
    <t xml:space="preserve">Ingresos (personas × cupo)</t>
  </si>
  <si>
    <t xml:space="preserve">Gastos</t>
  </si>
  <si>
    <t xml:space="preserve">GANANCIA</t>
  </si>
  <si>
    <t xml:space="preserve">Ganancia por persona</t>
  </si>
  <si>
    <t xml:space="preserve">Margen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</si>
</sst>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$#,##0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A2B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FE6D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6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3A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4" min="3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n">
        <v>15</v>
      </c>
    </row>
    <row r="6" customFormat="false" ht="15" hidden="false" customHeight="false" outlineLevel="0" collapsed="false">
      <c r="A6" s="4" t="s">
        <v>4</v>
      </c>
      <c r="B6" s="6" t="n">
        <v>230000</v>
      </c>
    </row>
    <row r="7" customFormat="false" ht="15" hidden="false" customHeight="false" outlineLevel="0" collapsed="false">
      <c r="A7" s="4" t="s">
        <v>5</v>
      </c>
      <c r="B7" s="7" t="n">
        <v>0.2</v>
      </c>
    </row>
    <row r="9" customFormat="false" ht="15" hidden="false" customHeight="false" outlineLevel="0" collapsed="false">
      <c r="A9" s="3" t="s">
        <v>6</v>
      </c>
      <c r="B9" s="3"/>
      <c r="C9" s="3"/>
      <c r="D9" s="3"/>
    </row>
    <row r="10" customFormat="false" ht="15" hidden="false" customHeight="false" outlineLevel="0" collapsed="false">
      <c r="A10" s="8" t="s">
        <v>7</v>
      </c>
      <c r="B10" s="8" t="s">
        <v>8</v>
      </c>
      <c r="C10" s="8" t="s">
        <v>9</v>
      </c>
      <c r="D10" s="8" t="s">
        <v>10</v>
      </c>
    </row>
    <row r="11" customFormat="false" ht="15" hidden="false" customHeight="false" outlineLevel="0" collapsed="false">
      <c r="A11" s="9" t="s">
        <v>11</v>
      </c>
      <c r="B11" s="10" t="n">
        <f aca="false">ROUNDUP(B5*4*(1+B7),0)</f>
        <v>72</v>
      </c>
      <c r="C11" s="6" t="n">
        <v>3200</v>
      </c>
      <c r="D11" s="11" t="n">
        <f aca="false">B11*C11</f>
        <v>230400</v>
      </c>
    </row>
    <row r="12" customFormat="false" ht="15" hidden="false" customHeight="false" outlineLevel="0" collapsed="false">
      <c r="A12" s="9" t="s">
        <v>12</v>
      </c>
      <c r="B12" s="10" t="n">
        <f aca="false">ROUNDUP(B5*4*(1+B7),0)</f>
        <v>72</v>
      </c>
      <c r="C12" s="6" t="n">
        <v>2200</v>
      </c>
      <c r="D12" s="11" t="n">
        <f aca="false">B12*C12</f>
        <v>158400</v>
      </c>
    </row>
    <row r="13" customFormat="false" ht="15" hidden="false" customHeight="false" outlineLevel="0" collapsed="false">
      <c r="A13" s="9" t="s">
        <v>13</v>
      </c>
      <c r="B13" s="10" t="n">
        <f aca="false">B5*8</f>
        <v>120</v>
      </c>
      <c r="C13" s="6" t="n">
        <v>3000</v>
      </c>
      <c r="D13" s="11" t="n">
        <f aca="false">B13*C13</f>
        <v>360000</v>
      </c>
    </row>
    <row r="14" customFormat="false" ht="15" hidden="false" customHeight="false" outlineLevel="0" collapsed="false">
      <c r="A14" s="9" t="s">
        <v>14</v>
      </c>
      <c r="B14" s="10" t="n">
        <f aca="false">B5</f>
        <v>15</v>
      </c>
      <c r="C14" s="6" t="n">
        <v>6000</v>
      </c>
      <c r="D14" s="11" t="n">
        <f aca="false">B14*C14</f>
        <v>90000</v>
      </c>
    </row>
    <row r="15" customFormat="false" ht="15" hidden="false" customHeight="false" outlineLevel="0" collapsed="false">
      <c r="A15" s="9" t="s">
        <v>15</v>
      </c>
      <c r="B15" s="5" t="n">
        <v>1</v>
      </c>
      <c r="C15" s="6" t="n">
        <v>250000</v>
      </c>
      <c r="D15" s="11" t="n">
        <f aca="false">B15*C15</f>
        <v>250000</v>
      </c>
    </row>
    <row r="16" customFormat="false" ht="15" hidden="false" customHeight="false" outlineLevel="0" collapsed="false">
      <c r="A16" s="9" t="s">
        <v>16</v>
      </c>
      <c r="B16" s="10" t="n">
        <f aca="false">B5</f>
        <v>15</v>
      </c>
      <c r="C16" s="6" t="n">
        <v>20000</v>
      </c>
      <c r="D16" s="11" t="n">
        <f aca="false">B16*C16</f>
        <v>300000</v>
      </c>
    </row>
    <row r="17" customFormat="false" ht="15" hidden="false" customHeight="false" outlineLevel="0" collapsed="false">
      <c r="A17" s="9" t="s">
        <v>17</v>
      </c>
      <c r="B17" s="10" t="n">
        <f aca="false">B5</f>
        <v>15</v>
      </c>
      <c r="C17" s="6" t="n">
        <v>2000</v>
      </c>
      <c r="D17" s="11" t="n">
        <f aca="false">B17*C17</f>
        <v>30000</v>
      </c>
    </row>
    <row r="18" customFormat="false" ht="15" hidden="false" customHeight="false" outlineLevel="0" collapsed="false">
      <c r="A18" s="9" t="s">
        <v>18</v>
      </c>
      <c r="B18" s="10" t="n">
        <f aca="false">B5</f>
        <v>15</v>
      </c>
      <c r="C18" s="6" t="n">
        <v>16000</v>
      </c>
      <c r="D18" s="11" t="n">
        <f aca="false">B18*C18</f>
        <v>240000</v>
      </c>
    </row>
    <row r="19" customFormat="false" ht="15" hidden="false" customHeight="false" outlineLevel="0" collapsed="false">
      <c r="A19" s="9" t="s">
        <v>19</v>
      </c>
      <c r="B19" s="5" t="n">
        <v>5</v>
      </c>
      <c r="C19" s="6" t="n">
        <v>9000</v>
      </c>
      <c r="D19" s="11" t="n">
        <f aca="false">B19*C19</f>
        <v>45000</v>
      </c>
    </row>
    <row r="20" customFormat="false" ht="15" hidden="false" customHeight="false" outlineLevel="0" collapsed="false">
      <c r="A20" s="9" t="s">
        <v>20</v>
      </c>
      <c r="B20" s="5" t="n">
        <v>1</v>
      </c>
      <c r="C20" s="6" t="n">
        <v>190000</v>
      </c>
      <c r="D20" s="11" t="n">
        <f aca="false">B20*C20</f>
        <v>190000</v>
      </c>
    </row>
    <row r="21" customFormat="false" ht="15" hidden="false" customHeight="false" outlineLevel="0" collapsed="false">
      <c r="A21" s="9" t="s">
        <v>21</v>
      </c>
      <c r="B21" s="5" t="n">
        <v>1</v>
      </c>
      <c r="C21" s="6" t="n">
        <v>690000</v>
      </c>
      <c r="D21" s="11" t="n">
        <f aca="false">B21*C21</f>
        <v>690000</v>
      </c>
    </row>
    <row r="22" customFormat="false" ht="15" hidden="false" customHeight="false" outlineLevel="0" collapsed="false">
      <c r="A22" s="12" t="s">
        <v>22</v>
      </c>
      <c r="D22" s="13" t="n">
        <f aca="false">SUM(D11:D21)</f>
        <v>2583800</v>
      </c>
    </row>
    <row r="24" customFormat="false" ht="15" hidden="false" customHeight="false" outlineLevel="0" collapsed="false">
      <c r="A24" s="3" t="s">
        <v>23</v>
      </c>
      <c r="B24" s="3"/>
      <c r="C24" s="3"/>
      <c r="D24" s="3"/>
    </row>
    <row r="25" customFormat="false" ht="15" hidden="false" customHeight="false" outlineLevel="0" collapsed="false">
      <c r="A25" s="4" t="s">
        <v>24</v>
      </c>
      <c r="B25" s="11" t="n">
        <f aca="false">B5*B6</f>
        <v>3450000</v>
      </c>
    </row>
    <row r="26" customFormat="false" ht="15" hidden="false" customHeight="false" outlineLevel="0" collapsed="false">
      <c r="A26" s="4" t="s">
        <v>25</v>
      </c>
      <c r="B26" s="11" t="n">
        <f aca="false">D22</f>
        <v>2583800</v>
      </c>
    </row>
    <row r="27" customFormat="false" ht="15" hidden="false" customHeight="false" outlineLevel="0" collapsed="false">
      <c r="A27" s="14" t="s">
        <v>26</v>
      </c>
      <c r="B27" s="13" t="n">
        <f aca="false">B25-B26</f>
        <v>866200</v>
      </c>
    </row>
    <row r="28" customFormat="false" ht="15" hidden="false" customHeight="false" outlineLevel="0" collapsed="false">
      <c r="A28" s="4" t="s">
        <v>27</v>
      </c>
      <c r="B28" s="11" t="n">
        <f aca="false">B27/B5</f>
        <v>57746.6666666667</v>
      </c>
    </row>
    <row r="29" customFormat="false" ht="15" hidden="false" customHeight="false" outlineLevel="0" collapsed="false">
      <c r="A29" s="4" t="s">
        <v>28</v>
      </c>
      <c r="B29" s="15" t="n">
        <f aca="false">IF(B25&gt;0,B27/B25,0)</f>
        <v>0.251072463768116</v>
      </c>
    </row>
  </sheetData>
  <mergeCells count="3">
    <mergeCell ref="A4:D4"/>
    <mergeCell ref="A9:D9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2026-10-14T18:09:28Z</dcterms:created>
  <dc:creator>openpyxl</dc:creator>
  <dc:description/>
  <dc:language>en-US</dc:language>
  <cp:lastModifiedBy/>
  <dcterms:modified xsi:type="dcterms:W3CDTF">2026-10-14T18:09:28Z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